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 Rudenstein\Desktop\CB templates\"/>
    </mc:Choice>
  </mc:AlternateContent>
  <xr:revisionPtr revIDLastSave="0" documentId="13_ncr:1_{3F997037-0177-4D34-BBF1-70838569421D}" xr6:coauthVersionLast="28" xr6:coauthVersionMax="28" xr10:uidLastSave="{00000000-0000-0000-0000-000000000000}"/>
  <bookViews>
    <workbookView xWindow="0" yWindow="0" windowWidth="24000" windowHeight="9510" firstSheet="1" activeTab="2" xr2:uid="{00000000-000D-0000-FFFF-FFFF00000000}"/>
  </bookViews>
  <sheets>
    <sheet name="CommonBrain" sheetId="11" r:id="rId1"/>
    <sheet name="questionnaire form" sheetId="13" r:id="rId2"/>
    <sheet name="questionnaire" sheetId="12" r:id="rId3"/>
    <sheet name="Hardware Inventory" sheetId="2" r:id="rId4"/>
    <sheet name="Software Inventory" sheetId="4" r:id="rId5"/>
    <sheet name="ADDIE" sheetId="7" r:id="rId6"/>
    <sheet name="refs" sheetId="9" r:id="rId7"/>
    <sheet name="master" sheetId="10" r:id="rId8"/>
  </sheets>
  <definedNames>
    <definedName name="_xlnm._FilterDatabase" localSheetId="0" hidden="1">CommonBrain!$A$2:$H$2</definedName>
    <definedName name="AverageAnchor">questionnaire!$AJ$5</definedName>
    <definedName name="AverageCost">questionnaire!$AJ$25</definedName>
    <definedName name="AverageCostt">questionnaire!$AJ$25</definedName>
    <definedName name="AverageOverall">questionnaire!$AJ$23</definedName>
    <definedName name="AverageRatio">questionnaire!$AJ$27</definedName>
    <definedName name="CBImage">CommonBrain!$B$1</definedName>
    <definedName name="CBrainImage">CommonBrain!$B$1</definedName>
    <definedName name="CBrainTitle">CommonBrain!$A$1</definedName>
    <definedName name="CBTitle">CommonBrain!$A$1</definedName>
    <definedName name="ChartLabel">questionnaire!$AT$3</definedName>
    <definedName name="Chartpath">refs!$B$4</definedName>
    <definedName name="CostAnchor">questionnaire!$X$25</definedName>
    <definedName name="CurrenDepartment">questionnaire!$C$3</definedName>
    <definedName name="DepartmentCount">questionnaire!$Z$3</definedName>
    <definedName name="DepartmentNames">refs!$B$8</definedName>
    <definedName name="DepartmentResults">questionnaire!$X$2:$AJ$27</definedName>
    <definedName name="DEPARTMENTS">questionnaire!$Y$5:$AH$5</definedName>
    <definedName name="DepartmentSetup">refs!$C$8</definedName>
    <definedName name="ExportMode">questionnaire!$C$37</definedName>
    <definedName name="HardwareCount">'Hardware Inventory'!$Z$1</definedName>
    <definedName name="HardwareTotal">'Hardware Inventory'!$L$12</definedName>
    <definedName name="Overall">questionnaire!$C$23</definedName>
    <definedName name="OverallAnchor">questionnaire!$X$23</definedName>
    <definedName name="_xlnm.Print_Area" localSheetId="3">'Hardware Inventory'!$A$2:$M$12</definedName>
    <definedName name="_xlnm.Print_Area" localSheetId="1">'questionnaire form'!$A$1:$F$27</definedName>
    <definedName name="_xlnm.Print_Area" localSheetId="4">'Software Inventory'!$A$1:$I$8</definedName>
    <definedName name="_xlnm.Print_Titles" localSheetId="3">'Hardware Inventory'!$1:$2</definedName>
    <definedName name="_xlnm.Print_Titles" localSheetId="4">'Software Inventory'!$1:$1</definedName>
    <definedName name="RatioAnchor">questionnaire!$X$27</definedName>
    <definedName name="SampleQuestionnaire">'questionnaire form'!$A$1:$F$27</definedName>
    <definedName name="scoreAnchor">questionnaire!$Y$5</definedName>
    <definedName name="SoftwareCout">'Software Inventory'!$X$2</definedName>
    <definedName name="SoftwareTotal">'Software Inventory'!$I$8</definedName>
  </definedNames>
  <calcPr calcId="171027"/>
</workbook>
</file>

<file path=xl/calcChain.xml><?xml version="1.0" encoding="utf-8"?>
<calcChain xmlns="http://schemas.openxmlformats.org/spreadsheetml/2006/main">
  <c r="X7" i="12" l="1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6" i="12"/>
  <c r="I84" i="11"/>
  <c r="D84" i="11" s="1"/>
  <c r="I83" i="11"/>
  <c r="I82" i="11"/>
  <c r="E83" i="11" s="1"/>
  <c r="I81" i="11"/>
  <c r="D81" i="11" s="1"/>
  <c r="I80" i="11"/>
  <c r="E81" i="11" s="1"/>
  <c r="I79" i="11"/>
  <c r="E79" i="11" s="1"/>
  <c r="I78" i="11"/>
  <c r="AJ25" i="12"/>
  <c r="E26" i="11" s="1"/>
  <c r="AJ20" i="12"/>
  <c r="E24" i="11" s="1"/>
  <c r="AJ19" i="12"/>
  <c r="E23" i="11" s="1"/>
  <c r="AJ18" i="12"/>
  <c r="E22" i="11" s="1"/>
  <c r="AJ17" i="12"/>
  <c r="E21" i="11" s="1"/>
  <c r="AJ16" i="12"/>
  <c r="E20" i="11" s="1"/>
  <c r="AJ15" i="12"/>
  <c r="E19" i="11" s="1"/>
  <c r="AJ14" i="12"/>
  <c r="E18" i="11" s="1"/>
  <c r="AJ13" i="12"/>
  <c r="E17" i="11" s="1"/>
  <c r="AJ12" i="12"/>
  <c r="E16" i="11" s="1"/>
  <c r="AJ11" i="12"/>
  <c r="E15" i="11" s="1"/>
  <c r="AJ10" i="12"/>
  <c r="E14" i="11" s="1"/>
  <c r="AJ9" i="12"/>
  <c r="E13" i="11" s="1"/>
  <c r="AJ8" i="12"/>
  <c r="E12" i="11" s="1"/>
  <c r="AJ7" i="12"/>
  <c r="E11" i="11" s="1"/>
  <c r="AJ6" i="12"/>
  <c r="E10" i="11" s="1"/>
  <c r="D77" i="11"/>
  <c r="D72" i="11"/>
  <c r="D67" i="11"/>
  <c r="D62" i="11"/>
  <c r="D57" i="11"/>
  <c r="E56" i="11"/>
  <c r="D56" i="11"/>
  <c r="D42" i="11"/>
  <c r="D37" i="11"/>
  <c r="D32" i="11"/>
  <c r="D47" i="11"/>
  <c r="D52" i="11"/>
  <c r="E73" i="11"/>
  <c r="E68" i="11"/>
  <c r="E63" i="11"/>
  <c r="E58" i="11"/>
  <c r="E53" i="11"/>
  <c r="E48" i="11"/>
  <c r="E43" i="11"/>
  <c r="E38" i="11"/>
  <c r="E33" i="11"/>
  <c r="E28" i="11"/>
  <c r="E76" i="11"/>
  <c r="D76" i="11"/>
  <c r="D75" i="11"/>
  <c r="E74" i="11"/>
  <c r="D74" i="11"/>
  <c r="D73" i="11"/>
  <c r="E71" i="11"/>
  <c r="D71" i="11"/>
  <c r="D70" i="11"/>
  <c r="E69" i="11"/>
  <c r="D69" i="11"/>
  <c r="D68" i="11"/>
  <c r="E66" i="11"/>
  <c r="D66" i="11"/>
  <c r="D65" i="11"/>
  <c r="E64" i="11"/>
  <c r="D64" i="11"/>
  <c r="D63" i="11"/>
  <c r="E61" i="11"/>
  <c r="D61" i="11"/>
  <c r="D60" i="11"/>
  <c r="E59" i="11"/>
  <c r="D59" i="11"/>
  <c r="D58" i="11"/>
  <c r="D55" i="11"/>
  <c r="E54" i="11"/>
  <c r="D54" i="11"/>
  <c r="D53" i="11"/>
  <c r="E51" i="11"/>
  <c r="D51" i="11"/>
  <c r="D50" i="11"/>
  <c r="E49" i="11"/>
  <c r="D49" i="11"/>
  <c r="D48" i="11"/>
  <c r="E46" i="11"/>
  <c r="D46" i="11"/>
  <c r="D45" i="11"/>
  <c r="E44" i="11"/>
  <c r="D44" i="11"/>
  <c r="D43" i="11"/>
  <c r="E41" i="11"/>
  <c r="D41" i="11"/>
  <c r="D40" i="11"/>
  <c r="E39" i="11"/>
  <c r="D39" i="11"/>
  <c r="D38" i="11"/>
  <c r="E36" i="11"/>
  <c r="D36" i="11"/>
  <c r="D35" i="11"/>
  <c r="E34" i="11"/>
  <c r="D34" i="11"/>
  <c r="D33" i="11"/>
  <c r="E31" i="11"/>
  <c r="D31" i="11"/>
  <c r="D30" i="11"/>
  <c r="E29" i="11"/>
  <c r="D29" i="11"/>
  <c r="D2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AT3" i="12"/>
  <c r="D83" i="11" l="1"/>
  <c r="E82" i="11"/>
  <c r="D82" i="11"/>
  <c r="C25" i="12"/>
  <c r="AH23" i="12"/>
  <c r="E75" i="11" s="1"/>
  <c r="AH27" i="12"/>
  <c r="AG23" i="12"/>
  <c r="AF23" i="12"/>
  <c r="E65" i="11" s="1"/>
  <c r="AE23" i="12"/>
  <c r="E60" i="11" s="1"/>
  <c r="AD23" i="12"/>
  <c r="E55" i="11" s="1"/>
  <c r="AC23" i="12"/>
  <c r="E50" i="11" s="1"/>
  <c r="AB23" i="12"/>
  <c r="E45" i="11" s="1"/>
  <c r="AA23" i="12"/>
  <c r="E40" i="11" s="1"/>
  <c r="Z23" i="12"/>
  <c r="E35" i="11" s="1"/>
  <c r="Y23" i="12"/>
  <c r="Y27" i="12" s="1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A4" i="12"/>
  <c r="Z3" i="12"/>
  <c r="Z1" i="2"/>
  <c r="K11" i="2"/>
  <c r="K10" i="2"/>
  <c r="K9" i="2"/>
  <c r="K8" i="2"/>
  <c r="K7" i="2"/>
  <c r="K6" i="2"/>
  <c r="K5" i="2"/>
  <c r="K4" i="2"/>
  <c r="K3" i="2"/>
  <c r="I5" i="4"/>
  <c r="I8" i="4" s="1"/>
  <c r="I6" i="4"/>
  <c r="L12" i="2"/>
  <c r="E32" i="11" l="1"/>
  <c r="AA27" i="12"/>
  <c r="E42" i="11" s="1"/>
  <c r="AC27" i="12"/>
  <c r="E52" i="11" s="1"/>
  <c r="AE27" i="12"/>
  <c r="E62" i="11" s="1"/>
  <c r="AG27" i="12"/>
  <c r="E72" i="11" s="1"/>
  <c r="E70" i="11"/>
  <c r="E30" i="11"/>
  <c r="AJ23" i="12"/>
  <c r="C27" i="12"/>
  <c r="E77" i="11"/>
  <c r="Z27" i="12"/>
  <c r="E37" i="11" s="1"/>
  <c r="AB27" i="12"/>
  <c r="E47" i="11" s="1"/>
  <c r="AD27" i="12"/>
  <c r="E57" i="11" s="1"/>
  <c r="AF27" i="12"/>
  <c r="E67" i="11" s="1"/>
  <c r="C23" i="12"/>
  <c r="D11" i="12" s="1"/>
  <c r="E84" i="11"/>
  <c r="D12" i="12" l="1"/>
  <c r="D19" i="12"/>
  <c r="D8" i="12"/>
  <c r="D18" i="12"/>
  <c r="D13" i="12"/>
  <c r="D16" i="12"/>
  <c r="D6" i="12"/>
  <c r="D9" i="12"/>
  <c r="D17" i="12"/>
  <c r="D10" i="12"/>
  <c r="D20" i="12"/>
  <c r="D14" i="12"/>
  <c r="D15" i="12"/>
  <c r="D7" i="12"/>
  <c r="E7" i="11"/>
  <c r="E9" i="11"/>
  <c r="E25" i="11"/>
  <c r="AJ27" i="12"/>
  <c r="E8" i="11" l="1"/>
  <c r="E27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Andy Rudenstein</author>
  </authors>
  <commentList>
    <comment ref="H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This is for .pdf files where user should be directed to a particular page number.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gina_green</author>
  </authors>
  <commentList>
    <comment ref="J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gina_green: </t>
        </r>
        <r>
          <rPr>
            <sz val="9"/>
            <color indexed="81"/>
            <rFont val="Tahoma"/>
            <family val="2"/>
          </rPr>
          <t xml:space="preserve">Year or Date hardware acquired
</t>
        </r>
      </text>
    </comment>
    <comment ref="K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gina_green: </t>
        </r>
        <r>
          <rPr>
            <sz val="9"/>
            <color indexed="81"/>
            <rFont val="Tahoma"/>
            <family val="2"/>
          </rPr>
          <t xml:space="preserve">Anticipated year or date to replace or upgrade 
hardware
</t>
        </r>
      </text>
    </comment>
    <comment ref="L2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gina_green:</t>
        </r>
        <r>
          <rPr>
            <sz val="9"/>
            <color indexed="81"/>
            <rFont val="Tahoma"/>
            <family val="2"/>
          </rPr>
          <t xml:space="preserve">
Either actual cost of hardware when purchased OR cost to replace hardware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gina_green</author>
  </authors>
  <commentList>
    <comment ref="G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gina_green:</t>
        </r>
        <r>
          <rPr>
            <sz val="9"/>
            <color indexed="81"/>
            <rFont val="Tahoma"/>
            <family val="2"/>
          </rPr>
          <t xml:space="preserve">
Year or date software acquired</t>
        </r>
      </text>
    </comment>
    <comment ref="H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gina_green:</t>
        </r>
        <r>
          <rPr>
            <sz val="9"/>
            <color indexed="81"/>
            <rFont val="Tahoma"/>
            <family val="2"/>
          </rPr>
          <t xml:space="preserve">
Anticipated year or date to replace or upgrade software</t>
        </r>
      </text>
    </comment>
    <comment ref="I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gina_green:</t>
        </r>
        <r>
          <rPr>
            <sz val="9"/>
            <color indexed="81"/>
            <rFont val="Tahoma"/>
            <family val="2"/>
          </rPr>
          <t xml:space="preserve">
Either actual cost of software when purchased or cost to replace the software</t>
        </r>
      </text>
    </comment>
  </commentList>
</comments>
</file>

<file path=xl/sharedStrings.xml><?xml version="1.0" encoding="utf-8"?>
<sst xmlns="http://schemas.openxmlformats.org/spreadsheetml/2006/main" count="820" uniqueCount="296">
  <si>
    <t>Printers</t>
  </si>
  <si>
    <t>Server Room</t>
  </si>
  <si>
    <t>Small Equipment</t>
  </si>
  <si>
    <t>Serial Number</t>
  </si>
  <si>
    <t>Replacement Date</t>
  </si>
  <si>
    <t>Room 202</t>
  </si>
  <si>
    <t>Hardware Total</t>
  </si>
  <si>
    <t>Software Total</t>
  </si>
  <si>
    <t>MXL207286B</t>
  </si>
  <si>
    <t>M8DSA24D</t>
  </si>
  <si>
    <t>STY231DS</t>
  </si>
  <si>
    <t>MLSE232WS</t>
  </si>
  <si>
    <t>3CQ232SE86Q</t>
  </si>
  <si>
    <t xml:space="preserve">Number of Licenses </t>
  </si>
  <si>
    <t>Acquisition  Date</t>
  </si>
  <si>
    <t>Room 651</t>
  </si>
  <si>
    <t>Location</t>
  </si>
  <si>
    <t>RAM</t>
  </si>
  <si>
    <t>CPU speed</t>
  </si>
  <si>
    <t>HP</t>
  </si>
  <si>
    <t>Compaq 6200</t>
  </si>
  <si>
    <t>Name</t>
  </si>
  <si>
    <t>Version</t>
  </si>
  <si>
    <t>Operating System</t>
  </si>
  <si>
    <t>Windows</t>
  </si>
  <si>
    <t xml:space="preserve">Windows </t>
  </si>
  <si>
    <t>Small Business</t>
  </si>
  <si>
    <t>2003 - Premium</t>
  </si>
  <si>
    <t xml:space="preserve">Compaq Proliant ML350 </t>
  </si>
  <si>
    <t>LaserJet 4250tn</t>
  </si>
  <si>
    <t>Cannon</t>
  </si>
  <si>
    <t>ImageRunner 4570</t>
  </si>
  <si>
    <t>Sharp</t>
  </si>
  <si>
    <t>MX-5001N</t>
  </si>
  <si>
    <t xml:space="preserve">HP </t>
  </si>
  <si>
    <t>Compaq dx7400</t>
  </si>
  <si>
    <t>Sheldon-Williams</t>
  </si>
  <si>
    <t>2120(3.30GHz)</t>
  </si>
  <si>
    <t>4GB</t>
  </si>
  <si>
    <t>1GB</t>
  </si>
  <si>
    <t>5GB</t>
  </si>
  <si>
    <t>Manufacturer</t>
  </si>
  <si>
    <t>Model</t>
  </si>
  <si>
    <t>Vendor</t>
  </si>
  <si>
    <t>Microsoft</t>
  </si>
  <si>
    <t>QuickBooks Pro</t>
  </si>
  <si>
    <t>2.33 GHz</t>
  </si>
  <si>
    <t>Intuit</t>
  </si>
  <si>
    <t>Servers</t>
  </si>
  <si>
    <t>Computer Name or Hardware Description</t>
  </si>
  <si>
    <t>All Servers</t>
  </si>
  <si>
    <t>All Workstations</t>
  </si>
  <si>
    <t>Office Standard</t>
  </si>
  <si>
    <t>Copier</t>
  </si>
  <si>
    <t>C-IR-32111000</t>
  </si>
  <si>
    <t>SC329A1357</t>
  </si>
  <si>
    <t>ED</t>
  </si>
  <si>
    <t>AD</t>
  </si>
  <si>
    <t>Management</t>
  </si>
  <si>
    <t>Staff</t>
  </si>
  <si>
    <t>Bookkeeper</t>
  </si>
  <si>
    <t>ED &amp; Bookkeeper</t>
  </si>
  <si>
    <t>Printer/Copier</t>
  </si>
  <si>
    <t>Ashley-Mills</t>
  </si>
  <si>
    <t>Charles-Smith</t>
  </si>
  <si>
    <t>Breakroom LaserJet</t>
  </si>
  <si>
    <t>LaserJet 2055dn</t>
  </si>
  <si>
    <t>ConferenceRoom LaserJet</t>
  </si>
  <si>
    <t>Grant-Johnson</t>
  </si>
  <si>
    <t>Amy-Lane</t>
  </si>
  <si>
    <t>Hard Drive Size</t>
  </si>
  <si>
    <t>300GB</t>
  </si>
  <si>
    <t>250GB</t>
  </si>
  <si>
    <t>500GB</t>
  </si>
  <si>
    <t>7 - Home</t>
  </si>
  <si>
    <t>Hardware Inventory</t>
  </si>
  <si>
    <t>Goruping</t>
  </si>
  <si>
    <t>HardwareCount</t>
  </si>
  <si>
    <t>Addie Model</t>
  </si>
  <si>
    <t>Analyze</t>
  </si>
  <si>
    <t>Design</t>
  </si>
  <si>
    <t>Develop</t>
  </si>
  <si>
    <t>Implement</t>
  </si>
  <si>
    <t>https://www.cnet.com/products/compaq-proliant-ml350-g2-pentium-iii-1-26-ghz-256-mb/specs/</t>
  </si>
  <si>
    <t>Equipment</t>
  </si>
  <si>
    <t>EquimentDescription</t>
  </si>
  <si>
    <t>Audit and assess current environment</t>
  </si>
  <si>
    <t>Track capacity of current infrastructure</t>
  </si>
  <si>
    <t>Document business and technical requirements</t>
  </si>
  <si>
    <t>Design new target environment</t>
  </si>
  <si>
    <t>Architect infrastructure to support solution</t>
  </si>
  <si>
    <t>Draft migration process and approach</t>
  </si>
  <si>
    <t>Create migration assets</t>
  </si>
  <si>
    <t>Build prototype/proof of concept</t>
  </si>
  <si>
    <t>Test process and tools with customer</t>
  </si>
  <si>
    <t>Deploy infrastructure for new solution</t>
  </si>
  <si>
    <t>Execute migration plan</t>
  </si>
  <si>
    <t>Facilitate service transition</t>
  </si>
  <si>
    <t>Establish reporting and metrics for project</t>
  </si>
  <si>
    <t>Review work of each phase with customer</t>
  </si>
  <si>
    <t>Adapt plans from feedback of each review</t>
  </si>
  <si>
    <t>SoftwareCount</t>
  </si>
  <si>
    <t>Rack map of their existing hardware</t>
  </si>
  <si>
    <t>Network diagram of existing WAN/LAN</t>
  </si>
  <si>
    <t>Asset list</t>
  </si>
  <si>
    <t>Answer to questionnaire</t>
  </si>
  <si>
    <t>Page #</t>
  </si>
  <si>
    <t>Source File</t>
  </si>
  <si>
    <t>Hover Message</t>
  </si>
  <si>
    <t>Value</t>
  </si>
  <si>
    <t>Specific Category</t>
  </si>
  <si>
    <t>Major Category</t>
  </si>
  <si>
    <t>Tab Name</t>
  </si>
  <si>
    <t>Sheet Name</t>
  </si>
  <si>
    <t>Overview</t>
  </si>
  <si>
    <t>Evaluate</t>
  </si>
  <si>
    <t>NTT Details</t>
  </si>
  <si>
    <t>Your Rep</t>
  </si>
  <si>
    <t>Mary Raitt</t>
  </si>
  <si>
    <t>Your Account Number</t>
  </si>
  <si>
    <t>Hardware</t>
  </si>
  <si>
    <t>Software</t>
  </si>
  <si>
    <t>Click For Diagram</t>
  </si>
  <si>
    <t>Engines</t>
  </si>
  <si>
    <t>Life Support</t>
  </si>
  <si>
    <t>Photon Torpedos</t>
  </si>
  <si>
    <t>Phasers</t>
  </si>
  <si>
    <t>Teleporters</t>
  </si>
  <si>
    <t>Cargo Bay 1</t>
  </si>
  <si>
    <t>Cargo Bay 2</t>
  </si>
  <si>
    <t>Emergency Power</t>
  </si>
  <si>
    <t>Impulse Drive</t>
  </si>
  <si>
    <t>Warp Drive</t>
  </si>
  <si>
    <t xml:space="preserve">Do your cloud applications need to meet any compliance or regulatory standards? </t>
  </si>
  <si>
    <t>Question #</t>
  </si>
  <si>
    <t>Short Question</t>
  </si>
  <si>
    <t>Long Question</t>
  </si>
  <si>
    <t>Target Services</t>
  </si>
  <si>
    <t>Motivation</t>
  </si>
  <si>
    <t>IT Strategy</t>
  </si>
  <si>
    <t>Timeframe</t>
  </si>
  <si>
    <t>Number Users</t>
  </si>
  <si>
    <t>Cloud Experience</t>
  </si>
  <si>
    <t>Compliance Goals</t>
  </si>
  <si>
    <t>Inhouse Experience</t>
  </si>
  <si>
    <t>Recovery Objectives</t>
  </si>
  <si>
    <t>Current Recovery</t>
  </si>
  <si>
    <t>Flexibility</t>
  </si>
  <si>
    <t>Channels</t>
  </si>
  <si>
    <t>Bandwidth</t>
  </si>
  <si>
    <t>Budget</t>
  </si>
  <si>
    <t>Networks</t>
  </si>
  <si>
    <t>Notes</t>
  </si>
  <si>
    <t>Score</t>
  </si>
  <si>
    <t>XYZ</t>
  </si>
  <si>
    <t xml:space="preserve">What Services are you planning to move into the Cloud? Outline the services, their current status and their role in your business. </t>
  </si>
  <si>
    <t>What are your reasons for moving to the Cloud? What are the motivations and the goals?</t>
  </si>
  <si>
    <t xml:space="preserve">Do you have an IT Strategy, and how does it define your cloud plans? This strategy will reveal key aims and direction for your use of Cloud. </t>
  </si>
  <si>
    <t>Is there a compelling event and timeframe driving the change? If so, what is it? Contract end of life for example.</t>
  </si>
  <si>
    <t xml:space="preserve">Who will use the service? How many users are there? Are they in-house or remotely located? How reliant will they be on your cloud services? </t>
  </si>
  <si>
    <t xml:space="preserve">Have you had previous experience with Cloud Migration? This will identify your organization’s level of experience with this type of project and readiness for the change. </t>
  </si>
  <si>
    <t xml:space="preserve">Do you have any cloud migration experience or expertise inhouse? This determines the level of external support and expertise that will be required. </t>
  </si>
  <si>
    <t xml:space="preserve">What are your Recovery Point Objective and Recovery Time Objective’s for the service? </t>
  </si>
  <si>
    <t xml:space="preserve">How is business continuity, backup and disaster recovery currently handled in your organization? </t>
  </si>
  <si>
    <t xml:space="preserve">How flexible and scalable do your cloud-based services need to be? Do you have peak season or staffing issues, for example. </t>
  </si>
  <si>
    <t xml:space="preserve">On what channels will these services be delivered? Internal platform, public Internet, or mobile devices? Or all of the above? </t>
  </si>
  <si>
    <t xml:space="preserve">Is your bandwidth currently designed to support a multi-cloud structure, or are any enhancements needed? </t>
  </si>
  <si>
    <t xml:space="preserve">What networks must the services connect to? </t>
  </si>
  <si>
    <t>Do you have a set-aside capital budget designed for IT updates and infrastructure (required for non-cloud infrastructure)?</t>
  </si>
  <si>
    <t>www.cisco.com/c/dam/en/us/td/i/200001-300000/290001-300000/299001-300000/299328.jpg</t>
  </si>
  <si>
    <t>http://logok.org/wp-content/uploads/2015/03/NTT-logo-logotype.png</t>
  </si>
  <si>
    <t>www.linkedin.com/in/maryraitt</t>
  </si>
  <si>
    <t>www.dropbox.com/s/mfdfhj6w325dcjf/NTT%20Hardware%20%28SaaSMax%29.xlsx?dl=0</t>
  </si>
  <si>
    <t>www.dropbox.com/s/l9ctwekv724y9mg/NTT%20Invoice.gif?dl=0</t>
  </si>
  <si>
    <t>www.dropbox.com/s/1rf0z44vwig84ty/NTT%20Software%20%28SaaSMax%29.xlsx?dl=0</t>
  </si>
  <si>
    <t>Located in NYC</t>
  </si>
  <si>
    <t xml:space="preserve">This is your overall Cloud Readiness  score </t>
  </si>
  <si>
    <t>CurrentDepartment</t>
  </si>
  <si>
    <t>DepartmentCount</t>
  </si>
  <si>
    <t>Department</t>
  </si>
  <si>
    <t>Overall Score</t>
  </si>
  <si>
    <t>Cost</t>
  </si>
  <si>
    <t>Score : Cost</t>
  </si>
  <si>
    <t>ChartPath</t>
  </si>
  <si>
    <t>Charts</t>
  </si>
  <si>
    <t>Export Charts As what kind of file?</t>
  </si>
  <si>
    <t>Performed by NTT Consultant</t>
  </si>
  <si>
    <t>https://us.nttdata.com/en/blog/2016/august/moving-from-traditional-outsourcing-to-cloud-based-hosting-models</t>
  </si>
  <si>
    <t>Specs</t>
  </si>
  <si>
    <t>www.support.hp.com/us-en/document/c02779493</t>
  </si>
  <si>
    <t>HP Compaq 6200 Pro</t>
  </si>
  <si>
    <t>www.support.microsoft.com/en-us/help/10737/windows-7-system-requirements</t>
  </si>
  <si>
    <t>Windows 7</t>
  </si>
  <si>
    <t>HP Support</t>
  </si>
  <si>
    <t>This is one time</t>
  </si>
  <si>
    <t>Upfront Invoice</t>
  </si>
  <si>
    <t>Ongoing Invoices</t>
  </si>
  <si>
    <t>Hosted Solution Costs</t>
  </si>
  <si>
    <t>Overall Readiness Score</t>
  </si>
  <si>
    <t>Your Account</t>
  </si>
  <si>
    <t>Sample Department</t>
  </si>
  <si>
    <t>WAN/LAN</t>
  </si>
  <si>
    <t>Network Diagrams</t>
  </si>
  <si>
    <t>Server Rack</t>
  </si>
  <si>
    <t>Network Topography</t>
  </si>
  <si>
    <t>Bare Metal Servers and Virtual Machines</t>
  </si>
  <si>
    <t>Image</t>
  </si>
  <si>
    <t>image.ibb.co/d1fVF7/Department_Chart1.png</t>
  </si>
  <si>
    <t>image.ibb.co/jzncv7/Department_Chart2.png</t>
  </si>
  <si>
    <t>image.ibb.co/d5Ovhn/Department_Chart3.png</t>
  </si>
  <si>
    <t>image.ibb.co/b3ho2n/Department_Chart4.png</t>
  </si>
  <si>
    <t>image.ibb.co/cEg4a7/Department_Chart5.png</t>
  </si>
  <si>
    <t>image.ibb.co/ddbFhn/Department_Chart6.png</t>
  </si>
  <si>
    <t>image.ibb.co/b6nz8S/Department_Chart7.png</t>
  </si>
  <si>
    <t>image.ibb.co/dJje8S/Department_Chart8.png</t>
  </si>
  <si>
    <t>image.ibb.co/g8LmoS/Department_Chart9.png</t>
  </si>
  <si>
    <t>image.ibb.co/mntja7/Department_Chart10.png</t>
  </si>
  <si>
    <t>Question 1</t>
  </si>
  <si>
    <t>Question 2</t>
  </si>
  <si>
    <t>Question 3</t>
  </si>
  <si>
    <t>Question 4</t>
  </si>
  <si>
    <t>Question 5</t>
  </si>
  <si>
    <t>Question 6</t>
  </si>
  <si>
    <t>Question 7</t>
  </si>
  <si>
    <t>Question 8</t>
  </si>
  <si>
    <t>Question 9</t>
  </si>
  <si>
    <t>Question 10</t>
  </si>
  <si>
    <t>Question 11</t>
  </si>
  <si>
    <t>Question 12</t>
  </si>
  <si>
    <t>Question 13</t>
  </si>
  <si>
    <t>Question 14</t>
  </si>
  <si>
    <t>Question 15</t>
  </si>
  <si>
    <t>image.ibb.co/gMOgoS/Cloud_Readiness_Chart_2018_3_6.png</t>
  </si>
  <si>
    <t>DepartmentNames</t>
  </si>
  <si>
    <t>DepartmentSetup</t>
  </si>
  <si>
    <t>Cloud Migration:  Sample NTT Client</t>
  </si>
  <si>
    <t>the higher the number the more ROI to moving to cloud</t>
  </si>
  <si>
    <t>Salient Details</t>
  </si>
  <si>
    <t>Department Number</t>
  </si>
  <si>
    <t>Department Name</t>
  </si>
  <si>
    <t>Department Contact</t>
  </si>
  <si>
    <t>Susan Jones</t>
  </si>
  <si>
    <t>Questionnaire Results</t>
  </si>
  <si>
    <t>All Departments</t>
  </si>
  <si>
    <t>Cloud Readiness Score</t>
  </si>
  <si>
    <t>Average Cost to Migrate</t>
  </si>
  <si>
    <t>Score / Cost Ratio</t>
  </si>
  <si>
    <t>this overall score compares well to your peers you should migrate</t>
  </si>
  <si>
    <t>Chart Label:</t>
  </si>
  <si>
    <t>Departments</t>
  </si>
  <si>
    <t>Average Score Per Question</t>
  </si>
  <si>
    <t>Questions</t>
  </si>
  <si>
    <t>All DEPARTMENTS / QUESTIONS RESULTS</t>
  </si>
  <si>
    <t>image.ibb.co/k1b7dS/Department_Results_2018_03_06.png</t>
  </si>
  <si>
    <t>Question Number</t>
  </si>
  <si>
    <t>Department Name:</t>
  </si>
  <si>
    <t>Analyst:</t>
  </si>
  <si>
    <t>John Smith</t>
  </si>
  <si>
    <t>Departmental Questionnaire</t>
  </si>
  <si>
    <t>Form Name:</t>
  </si>
  <si>
    <t>image.ibb.co/c2cGNn/Sample_Questionnaire.png</t>
  </si>
  <si>
    <t>Susan is on maternity leave please contact her assistant Ronald McDonald.</t>
  </si>
  <si>
    <t>www.jmp.com/support/notes/35/293.html</t>
  </si>
  <si>
    <t>JMP Statistical Software</t>
  </si>
  <si>
    <t>Windows 8 Pro 32-bit</t>
  </si>
  <si>
    <t>support.hpe.com/hpsc/doc/public/display?docId=emr_na-c00650085</t>
  </si>
  <si>
    <t>HPE Support</t>
  </si>
  <si>
    <t>Software Inventory</t>
  </si>
  <si>
    <t>www.usa.canon.com/internet/portal/us/home/support/details/copiers-mfps-fax-machines/support-multifunction/imagerunner-4570</t>
  </si>
  <si>
    <t>Canon Support</t>
  </si>
  <si>
    <t>Last Update: 3/20/2017</t>
  </si>
  <si>
    <t>www.sharpusa.com/ForBusiness/DocumentSystems/MFPs/Archives/MX5001N.aspx</t>
  </si>
  <si>
    <t>Sharp Support</t>
  </si>
  <si>
    <t>Adobe Acrobat Pro</t>
  </si>
  <si>
    <t>helpx.adobe.com/acrobat/system-requirements.html</t>
  </si>
  <si>
    <t>helpx.adobe.com/photoshop/system-requirements.html</t>
  </si>
  <si>
    <t>Photoshop</t>
  </si>
  <si>
    <t>Ver 19.x</t>
  </si>
  <si>
    <t>not sure of specific version</t>
  </si>
  <si>
    <t>Cloud Readiness Summary</t>
  </si>
  <si>
    <t>www.conceptdraw.com/examples/images-of-network-topologies</t>
  </si>
  <si>
    <t>www.memory-alpha.wikia.com/wiki/Life_support_system</t>
  </si>
  <si>
    <t>en.wikipedia.org/wiki/Weapons_in_Star_Trek#/media/File:William_Shatner_Sally_Kellerman_Star_Trek_1966.JPG</t>
  </si>
  <si>
    <t>www.iflscience.com/technology/star-trek-s-photon-torpedoes-are-almost-possible/</t>
  </si>
  <si>
    <t>www.screenprism.com/insights/article/what-does-impulse-power-mean-in-star-trek</t>
  </si>
  <si>
    <t>www.space.com/21201-star-trek-technology-explained-infographic.html</t>
  </si>
  <si>
    <t>Software Inventory as of 01-01-2018</t>
  </si>
  <si>
    <t>Hardware Inventory as of 01-01-2018</t>
  </si>
  <si>
    <t>Cost Basis</t>
  </si>
  <si>
    <t>Average Score</t>
  </si>
  <si>
    <t>Metrics</t>
  </si>
  <si>
    <t>Score / Cost to Migrate. This Overall Score compares well to your peers you should migrate</t>
  </si>
  <si>
    <t>Hardware Cost Basis</t>
  </si>
  <si>
    <t>Hardware Component Count</t>
  </si>
  <si>
    <t>Software Component Count</t>
  </si>
  <si>
    <t>Software Cost 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</si>
</sst>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#,##0.0_);\(#,##0.0\)"/>
    <numFmt numFmtId="167" formatCode="0.0"/>
    <numFmt numFmtId="169" formatCode="_([$$-409]* #,##0_);_([$$-409]* \(#,##0\);_([$$-409]* &quot;-&quot;??_);_(@_)"/>
  </numFmts>
  <fonts count="46">
    <font>
      <sz val="11"/>
      <color theme="1"/>
      <name val="Calibri"/>
      <family val="2"/>
      <scheme val="minor"/>
    </font>
    <font>
      <b/>
      <sz val="16"/>
      <name val="Myriad Pro"/>
      <family val="2"/>
    </font>
    <font>
      <b/>
      <sz val="13"/>
      <name val="Myriad Pro"/>
      <family val="2"/>
    </font>
    <font>
      <b/>
      <i/>
      <sz val="13"/>
      <name val="Myriad Pro"/>
      <family val="2"/>
    </font>
    <font>
      <b/>
      <sz val="13"/>
      <name val="Myriad Pro"/>
    </font>
    <font>
      <b/>
      <i/>
      <sz val="13"/>
      <name val="Myriad Pro"/>
    </font>
    <font>
      <sz val="13"/>
      <name val="Myriad Pro"/>
    </font>
    <font>
      <b/>
      <sz val="14"/>
      <name val="Myriad Pro"/>
    </font>
    <font>
      <b/>
      <u/>
      <sz val="13"/>
      <name val="Myriad Pro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Myriad Pro"/>
      <family val="2"/>
    </font>
    <font>
      <b/>
      <sz val="12"/>
      <color theme="1"/>
      <name val="Myriad Pro"/>
      <family val="2"/>
    </font>
    <font>
      <b/>
      <u/>
      <sz val="12"/>
      <color theme="1"/>
      <name val="Myriad Pro"/>
      <family val="2"/>
    </font>
    <font>
      <sz val="13"/>
      <color theme="1"/>
      <name val="Myriad Pro"/>
      <family val="2"/>
    </font>
    <font>
      <b/>
      <u/>
      <sz val="13"/>
      <color theme="1"/>
      <name val="Myriad Pro"/>
      <family val="2"/>
    </font>
    <font>
      <sz val="13"/>
      <color theme="1"/>
      <name val="Calibri"/>
      <family val="2"/>
      <scheme val="minor"/>
    </font>
    <font>
      <b/>
      <sz val="16"/>
      <color theme="1"/>
      <name val="Myriad Pro"/>
      <family val="2"/>
    </font>
    <font>
      <b/>
      <u/>
      <sz val="13"/>
      <color theme="1"/>
      <name val="Calibri"/>
      <family val="2"/>
      <scheme val="minor"/>
    </font>
    <font>
      <b/>
      <sz val="13"/>
      <color theme="0"/>
      <name val="Myriad Pro"/>
      <family val="2"/>
    </font>
    <font>
      <b/>
      <u/>
      <sz val="13"/>
      <color rgb="FF000000"/>
      <name val="Calibri"/>
      <family val="2"/>
      <scheme val="minor"/>
    </font>
    <font>
      <b/>
      <sz val="13"/>
      <color theme="0"/>
      <name val="Myriad Pro"/>
    </font>
    <font>
      <b/>
      <sz val="20"/>
      <color rgb="FF004386"/>
      <name val="Calibri"/>
      <family val="2"/>
      <scheme val="minor"/>
    </font>
    <font>
      <b/>
      <sz val="16"/>
      <color rgb="FF004386"/>
      <name val="Calibri"/>
      <family val="2"/>
      <scheme val="minor"/>
    </font>
    <font>
      <sz val="16"/>
      <color rgb="FF0098D8"/>
      <name val="Arial"/>
      <family val="2"/>
    </font>
    <font>
      <sz val="11"/>
      <color theme="1"/>
      <name val="Calibri"/>
      <family val="2"/>
    </font>
    <font>
      <sz val="11.5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Segoe UI"/>
      <family val="2"/>
    </font>
    <font>
      <sz val="11.5"/>
      <color rgb="FF0070C0"/>
      <name val="Calibri"/>
      <family val="2"/>
      <scheme val="minor"/>
    </font>
    <font>
      <b/>
      <sz val="28"/>
      <name val="Calibri"/>
      <family val="2"/>
      <scheme val="minor"/>
    </font>
    <font>
      <sz val="2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333333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57A2F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589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2" borderId="0" applyFont="0" applyBorder="0" applyAlignment="0">
      <alignment vertical="center" wrapText="1"/>
    </xf>
  </cellStyleXfs>
  <cellXfs count="161">
    <xf numFmtId="0" fontId="0" fillId="0" borderId="0" xfId="0"/>
    <xf numFmtId="0" fontId="16" fillId="0" borderId="0" xfId="0" applyFont="1" applyFill="1" applyBorder="1"/>
    <xf numFmtId="164" fontId="16" fillId="0" borderId="0" xfId="0" applyNumberFormat="1" applyFont="1" applyFill="1" applyBorder="1"/>
    <xf numFmtId="0" fontId="1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6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44" fontId="16" fillId="0" borderId="0" xfId="2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164" fontId="19" fillId="0" borderId="0" xfId="0" applyNumberFormat="1" applyFont="1" applyFill="1" applyBorder="1"/>
    <xf numFmtId="0" fontId="20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44" fontId="16" fillId="0" borderId="0" xfId="0" applyNumberFormat="1" applyFont="1" applyFill="1" applyBorder="1" applyAlignment="1">
      <alignment horizontal="center"/>
    </xf>
    <xf numFmtId="44" fontId="19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22" fillId="0" borderId="0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left" vertical="center"/>
    </xf>
    <xf numFmtId="0" fontId="23" fillId="3" borderId="2" xfId="0" applyFont="1" applyFill="1" applyBorder="1" applyAlignment="1">
      <alignment horizontal="left" vertical="center"/>
    </xf>
    <xf numFmtId="0" fontId="23" fillId="3" borderId="2" xfId="0" applyFont="1" applyFill="1" applyBorder="1" applyAlignment="1">
      <alignment horizontal="left" vertical="center" wrapText="1"/>
    </xf>
    <xf numFmtId="0" fontId="23" fillId="3" borderId="3" xfId="0" applyFont="1" applyFill="1" applyBorder="1" applyAlignment="1">
      <alignment horizontal="left" vertical="center" wrapText="1"/>
    </xf>
    <xf numFmtId="0" fontId="24" fillId="4" borderId="4" xfId="0" applyFont="1" applyFill="1" applyBorder="1"/>
    <xf numFmtId="0" fontId="2" fillId="0" borderId="0" xfId="0" applyFont="1" applyBorder="1"/>
    <xf numFmtId="0" fontId="2" fillId="0" borderId="4" xfId="0" applyFont="1" applyBorder="1" applyAlignment="1">
      <alignment horizontal="right"/>
    </xf>
    <xf numFmtId="0" fontId="1" fillId="0" borderId="5" xfId="0" applyFont="1" applyBorder="1" applyAlignment="1">
      <alignment horizontal="center" vertical="center"/>
    </xf>
    <xf numFmtId="0" fontId="2" fillId="0" borderId="6" xfId="0" applyFont="1" applyBorder="1"/>
    <xf numFmtId="0" fontId="4" fillId="0" borderId="0" xfId="0" applyFont="1" applyBorder="1"/>
    <xf numFmtId="0" fontId="25" fillId="3" borderId="1" xfId="0" applyFont="1" applyFill="1" applyBorder="1" applyAlignment="1">
      <alignment horizontal="left" vertical="center"/>
    </xf>
    <xf numFmtId="0" fontId="25" fillId="3" borderId="2" xfId="0" applyFont="1" applyFill="1" applyBorder="1" applyAlignment="1">
      <alignment horizontal="left" vertical="center"/>
    </xf>
    <xf numFmtId="0" fontId="25" fillId="3" borderId="2" xfId="0" applyFont="1" applyFill="1" applyBorder="1" applyAlignment="1">
      <alignment horizontal="left" vertical="center" wrapText="1"/>
    </xf>
    <xf numFmtId="0" fontId="25" fillId="3" borderId="3" xfId="0" applyFont="1" applyFill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 applyFill="1" applyBorder="1" applyAlignment="1">
      <alignment horizontal="center"/>
    </xf>
    <xf numFmtId="0" fontId="26" fillId="4" borderId="4" xfId="0" applyFont="1" applyFill="1" applyBorder="1"/>
    <xf numFmtId="0" fontId="4" fillId="0" borderId="0" xfId="0" applyFont="1" applyFill="1" applyBorder="1"/>
    <xf numFmtId="0" fontId="4" fillId="0" borderId="0" xfId="0" applyFont="1" applyBorder="1" applyAlignment="1">
      <alignment wrapText="1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27" fillId="0" borderId="0" xfId="0" applyFont="1" applyAlignment="1">
      <alignment horizontal="left" vertical="center" readingOrder="1"/>
    </xf>
    <xf numFmtId="0" fontId="28" fillId="0" borderId="0" xfId="0" applyFont="1" applyAlignment="1">
      <alignment horizontal="left" vertical="center" readingOrder="1"/>
    </xf>
    <xf numFmtId="0" fontId="29" fillId="0" borderId="0" xfId="0" applyFont="1" applyAlignment="1">
      <alignment horizontal="left" vertical="center" indent="5" readingOrder="1"/>
    </xf>
    <xf numFmtId="0" fontId="3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14" fillId="0" borderId="0" xfId="3" applyAlignment="1">
      <alignment vertical="center"/>
    </xf>
    <xf numFmtId="164" fontId="11" fillId="0" borderId="0" xfId="2" applyNumberFormat="1" applyFont="1" applyAlignment="1">
      <alignment vertical="center"/>
    </xf>
    <xf numFmtId="14" fontId="0" fillId="0" borderId="0" xfId="0" applyNumberFormat="1"/>
    <xf numFmtId="164" fontId="11" fillId="0" borderId="0" xfId="2" applyNumberFormat="1" applyFont="1"/>
    <xf numFmtId="3" fontId="31" fillId="0" borderId="0" xfId="0" applyNumberFormat="1" applyFont="1" applyAlignment="1">
      <alignment vertical="center"/>
    </xf>
    <xf numFmtId="164" fontId="31" fillId="0" borderId="0" xfId="2" applyNumberFormat="1" applyFont="1" applyAlignment="1">
      <alignment vertical="center"/>
    </xf>
    <xf numFmtId="14" fontId="0" fillId="0" borderId="0" xfId="0" applyNumberFormat="1" applyFont="1" applyAlignment="1">
      <alignment vertical="center"/>
    </xf>
    <xf numFmtId="0" fontId="13" fillId="2" borderId="0" xfId="4" applyFont="1" applyAlignment="1">
      <alignment vertical="center" wrapText="1"/>
    </xf>
    <xf numFmtId="0" fontId="14" fillId="0" borderId="0" xfId="3"/>
    <xf numFmtId="0" fontId="0" fillId="0" borderId="0" xfId="0" applyFont="1"/>
    <xf numFmtId="14" fontId="0" fillId="0" borderId="0" xfId="0" applyNumberFormat="1" applyFont="1"/>
    <xf numFmtId="165" fontId="11" fillId="0" borderId="0" xfId="1" applyNumberFormat="1" applyFont="1" applyAlignment="1">
      <alignment vertical="center"/>
    </xf>
    <xf numFmtId="0" fontId="32" fillId="2" borderId="0" xfId="4" applyFont="1" applyAlignment="1">
      <alignment vertical="center" wrapText="1"/>
    </xf>
    <xf numFmtId="0" fontId="12" fillId="2" borderId="0" xfId="4" applyFont="1" applyAlignment="1">
      <alignment vertical="center"/>
    </xf>
    <xf numFmtId="0" fontId="33" fillId="2" borderId="0" xfId="4" applyFont="1" applyAlignment="1">
      <alignment vertical="center"/>
    </xf>
    <xf numFmtId="0" fontId="14" fillId="2" borderId="0" xfId="3" applyFill="1" applyAlignment="1">
      <alignment vertical="center"/>
    </xf>
    <xf numFmtId="0" fontId="34" fillId="2" borderId="0" xfId="4" applyFont="1" applyAlignment="1">
      <alignment vertical="center" wrapText="1"/>
    </xf>
    <xf numFmtId="37" fontId="11" fillId="0" borderId="0" xfId="2" applyNumberFormat="1" applyFont="1" applyAlignment="1">
      <alignment vertical="center"/>
    </xf>
    <xf numFmtId="0" fontId="15" fillId="0" borderId="0" xfId="0" applyFont="1"/>
    <xf numFmtId="0" fontId="15" fillId="0" borderId="0" xfId="0" applyFont="1" applyAlignment="1">
      <alignment wrapText="1"/>
    </xf>
    <xf numFmtId="0" fontId="35" fillId="5" borderId="11" xfId="0" applyFont="1" applyFill="1" applyBorder="1" applyAlignment="1">
      <alignment horizontal="center"/>
    </xf>
    <xf numFmtId="166" fontId="15" fillId="0" borderId="0" xfId="2" applyNumberFormat="1" applyFont="1" applyAlignment="1">
      <alignment vertical="center"/>
    </xf>
    <xf numFmtId="37" fontId="15" fillId="0" borderId="0" xfId="2" applyNumberFormat="1" applyFont="1" applyAlignment="1">
      <alignment vertical="center"/>
    </xf>
    <xf numFmtId="0" fontId="37" fillId="0" borderId="15" xfId="0" applyFont="1" applyBorder="1" applyAlignment="1">
      <alignment horizontal="center"/>
    </xf>
    <xf numFmtId="0" fontId="37" fillId="0" borderId="11" xfId="0" applyFont="1" applyBorder="1"/>
    <xf numFmtId="5" fontId="11" fillId="0" borderId="0" xfId="2" applyNumberFormat="1" applyFont="1" applyAlignment="1">
      <alignment vertical="center"/>
    </xf>
    <xf numFmtId="169" fontId="11" fillId="0" borderId="0" xfId="1" applyNumberFormat="1" applyFont="1" applyAlignment="1">
      <alignment vertical="center"/>
    </xf>
    <xf numFmtId="0" fontId="39" fillId="0" borderId="0" xfId="0" applyFont="1"/>
    <xf numFmtId="0" fontId="0" fillId="0" borderId="11" xfId="0" applyBorder="1"/>
    <xf numFmtId="0" fontId="40" fillId="0" borderId="0" xfId="0" applyFont="1" applyAlignment="1">
      <alignment vertical="center"/>
    </xf>
    <xf numFmtId="1" fontId="31" fillId="0" borderId="0" xfId="0" applyNumberFormat="1" applyFont="1" applyAlignment="1">
      <alignment vertical="center"/>
    </xf>
    <xf numFmtId="37" fontId="37" fillId="0" borderId="0" xfId="2" applyNumberFormat="1" applyFont="1" applyAlignment="1">
      <alignment vertical="center"/>
    </xf>
    <xf numFmtId="37" fontId="0" fillId="0" borderId="0" xfId="0" applyNumberFormat="1"/>
    <xf numFmtId="0" fontId="37" fillId="0" borderId="0" xfId="0" applyFont="1"/>
    <xf numFmtId="0" fontId="0" fillId="0" borderId="4" xfId="0" applyBorder="1"/>
    <xf numFmtId="0" fontId="0" fillId="0" borderId="0" xfId="0" applyBorder="1"/>
    <xf numFmtId="0" fontId="0" fillId="0" borderId="7" xfId="0" applyBorder="1"/>
    <xf numFmtId="0" fontId="15" fillId="0" borderId="4" xfId="0" applyFont="1" applyBorder="1"/>
    <xf numFmtId="0" fontId="15" fillId="0" borderId="7" xfId="0" applyFont="1" applyBorder="1"/>
    <xf numFmtId="0" fontId="0" fillId="0" borderId="10" xfId="0" applyBorder="1"/>
    <xf numFmtId="0" fontId="41" fillId="6" borderId="12" xfId="0" applyFont="1" applyFill="1" applyBorder="1" applyAlignment="1">
      <alignment horizontal="centerContinuous" vertical="center"/>
    </xf>
    <xf numFmtId="0" fontId="41" fillId="6" borderId="13" xfId="0" applyFont="1" applyFill="1" applyBorder="1" applyAlignment="1">
      <alignment horizontal="centerContinuous" vertical="center"/>
    </xf>
    <xf numFmtId="0" fontId="42" fillId="6" borderId="13" xfId="0" applyFont="1" applyFill="1" applyBorder="1" applyAlignment="1">
      <alignment horizontal="centerContinuous" vertical="center"/>
    </xf>
    <xf numFmtId="0" fontId="42" fillId="6" borderId="14" xfId="0" applyFont="1" applyFill="1" applyBorder="1" applyAlignment="1">
      <alignment horizontal="centerContinuous" vertical="center"/>
    </xf>
    <xf numFmtId="0" fontId="15" fillId="0" borderId="12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36" fillId="0" borderId="1" xfId="0" applyFont="1" applyFill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0" fontId="43" fillId="0" borderId="1" xfId="0" applyFont="1" applyBorder="1"/>
    <xf numFmtId="0" fontId="43" fillId="0" borderId="2" xfId="0" applyFont="1" applyBorder="1" applyAlignment="1">
      <alignment horizontal="right"/>
    </xf>
    <xf numFmtId="0" fontId="43" fillId="0" borderId="2" xfId="0" applyFont="1" applyBorder="1"/>
    <xf numFmtId="0" fontId="0" fillId="0" borderId="2" xfId="0" applyBorder="1"/>
    <xf numFmtId="0" fontId="0" fillId="0" borderId="3" xfId="0" applyBorder="1"/>
    <xf numFmtId="0" fontId="15" fillId="0" borderId="11" xfId="0" applyFont="1" applyBorder="1" applyAlignment="1">
      <alignment horizontal="center" wrapText="1"/>
    </xf>
    <xf numFmtId="0" fontId="15" fillId="0" borderId="0" xfId="0" applyFont="1" applyBorder="1" applyAlignment="1">
      <alignment horizontal="center"/>
    </xf>
    <xf numFmtId="0" fontId="15" fillId="7" borderId="12" xfId="0" applyFont="1" applyFill="1" applyBorder="1" applyAlignment="1">
      <alignment horizontal="centerContinuous"/>
    </xf>
    <xf numFmtId="0" fontId="15" fillId="7" borderId="13" xfId="0" applyFont="1" applyFill="1" applyBorder="1" applyAlignment="1">
      <alignment horizontal="centerContinuous"/>
    </xf>
    <xf numFmtId="0" fontId="15" fillId="7" borderId="14" xfId="0" applyFont="1" applyFill="1" applyBorder="1" applyAlignment="1">
      <alignment horizontal="centerContinuous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5" fillId="7" borderId="11" xfId="0" applyFont="1" applyFill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15" xfId="0" applyNumberFormat="1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0" fontId="0" fillId="0" borderId="16" xfId="0" applyBorder="1" applyAlignment="1">
      <alignment horizontal="center"/>
    </xf>
    <xf numFmtId="3" fontId="0" fillId="0" borderId="15" xfId="0" applyNumberFormat="1" applyBorder="1"/>
    <xf numFmtId="0" fontId="15" fillId="0" borderId="22" xfId="0" applyFont="1" applyBorder="1"/>
    <xf numFmtId="0" fontId="15" fillId="0" borderId="23" xfId="0" applyFont="1" applyBorder="1"/>
    <xf numFmtId="167" fontId="0" fillId="0" borderId="24" xfId="0" applyNumberFormat="1" applyBorder="1"/>
    <xf numFmtId="1" fontId="15" fillId="8" borderId="11" xfId="0" applyNumberFormat="1" applyFont="1" applyFill="1" applyBorder="1" applyAlignment="1">
      <alignment horizontal="center"/>
    </xf>
    <xf numFmtId="5" fontId="15" fillId="8" borderId="11" xfId="2" applyNumberFormat="1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wrapText="1"/>
    </xf>
    <xf numFmtId="0" fontId="37" fillId="0" borderId="1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14" xfId="0" applyBorder="1" applyAlignment="1">
      <alignment horizontal="centerContinuous"/>
    </xf>
    <xf numFmtId="0" fontId="44" fillId="0" borderId="12" xfId="0" applyFont="1" applyBorder="1" applyAlignment="1">
      <alignment horizontal="centerContinuous"/>
    </xf>
    <xf numFmtId="0" fontId="45" fillId="0" borderId="0" xfId="0" applyFont="1"/>
    <xf numFmtId="5" fontId="3" fillId="0" borderId="7" xfId="2" applyNumberFormat="1" applyFont="1" applyFill="1" applyBorder="1" applyAlignment="1">
      <alignment horizontal="center"/>
    </xf>
    <xf numFmtId="164" fontId="5" fillId="0" borderId="7" xfId="2" applyNumberFormat="1" applyFont="1" applyBorder="1"/>
    <xf numFmtId="164" fontId="5" fillId="0" borderId="7" xfId="0" applyNumberFormat="1" applyFont="1" applyBorder="1"/>
    <xf numFmtId="164" fontId="5" fillId="0" borderId="8" xfId="2" applyNumberFormat="1" applyFont="1" applyBorder="1"/>
    <xf numFmtId="0" fontId="8" fillId="0" borderId="10" xfId="0" applyFont="1" applyBorder="1" applyAlignment="1">
      <alignment horizontal="right"/>
    </xf>
    <xf numFmtId="0" fontId="6" fillId="0" borderId="10" xfId="0" applyFont="1" applyFill="1" applyBorder="1" applyAlignment="1">
      <alignment horizontal="center"/>
    </xf>
    <xf numFmtId="5" fontId="5" fillId="0" borderId="25" xfId="2" applyNumberFormat="1" applyFont="1" applyFill="1" applyBorder="1"/>
    <xf numFmtId="0" fontId="4" fillId="0" borderId="26" xfId="0" applyFont="1" applyBorder="1"/>
    <xf numFmtId="0" fontId="26" fillId="4" borderId="26" xfId="0" applyFont="1" applyFill="1" applyBorder="1"/>
    <xf numFmtId="0" fontId="4" fillId="0" borderId="27" xfId="0" applyFont="1" applyFill="1" applyBorder="1"/>
    <xf numFmtId="0" fontId="4" fillId="0" borderId="27" xfId="0" applyFont="1" applyBorder="1"/>
    <xf numFmtId="0" fontId="4" fillId="0" borderId="27" xfId="0" applyFont="1" applyFill="1" applyBorder="1" applyAlignment="1">
      <alignment horizontal="center"/>
    </xf>
    <xf numFmtId="5" fontId="3" fillId="0" borderId="28" xfId="2" applyNumberFormat="1" applyFont="1" applyFill="1" applyBorder="1" applyAlignment="1">
      <alignment horizontal="center"/>
    </xf>
    <xf numFmtId="0" fontId="15" fillId="0" borderId="1" xfId="0" applyFont="1" applyBorder="1" applyAlignment="1">
      <alignment horizontal="centerContinuous" wrapText="1"/>
    </xf>
    <xf numFmtId="0" fontId="15" fillId="0" borderId="2" xfId="0" applyFont="1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10" xfId="0" applyBorder="1" applyAlignment="1">
      <alignment horizontal="centerContinuous"/>
    </xf>
    <xf numFmtId="0" fontId="0" fillId="0" borderId="25" xfId="0" applyBorder="1" applyAlignment="1">
      <alignment horizontal="centerContinuous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Style 1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Cloud Readiness Score compared to Cost to Migrate (Portfolio View)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Score : Cost</c:v>
          </c:tx>
          <c:spPr>
            <a:ln w="25400" cap="rnd">
              <a:noFill/>
              <a:round/>
            </a:ln>
            <a:effectLst>
              <a:outerShdw blurRad="38100" dist="50800" dir="5400000" algn="ctr" rotWithShape="0">
                <a:schemeClr val="accent2">
                  <a:alpha val="39000"/>
                </a:schemeClr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outerShdw blurRad="38100" dist="50800" dir="5400000" algn="ctr" rotWithShape="0">
                  <a:schemeClr val="accent2">
                    <a:alpha val="39000"/>
                  </a:schemeClr>
                </a:outerShdw>
              </a:effectLst>
              <a:scene3d>
                <a:camera prst="orthographicFront"/>
                <a:lightRig rig="threePt" dir="t"/>
              </a:scene3d>
              <a:sp3d>
                <a:bevelT w="133350"/>
              </a:sp3d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questionnaire!$Y$5:$AH$5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questionnaire!$Y$27:$AH$27</c:f>
              <c:numCache>
                <c:formatCode>0.0</c:formatCode>
                <c:ptCount val="10"/>
                <c:pt idx="0">
                  <c:v>1.9</c:v>
                </c:pt>
                <c:pt idx="1">
                  <c:v>7.0518518518518514</c:v>
                </c:pt>
                <c:pt idx="2">
                  <c:v>5.5</c:v>
                </c:pt>
                <c:pt idx="3">
                  <c:v>8.8285714285714292</c:v>
                </c:pt>
                <c:pt idx="4">
                  <c:v>9.6333333333333329</c:v>
                </c:pt>
                <c:pt idx="5">
                  <c:v>8</c:v>
                </c:pt>
                <c:pt idx="6">
                  <c:v>11.15</c:v>
                </c:pt>
                <c:pt idx="7">
                  <c:v>17.222222222222221</c:v>
                </c:pt>
                <c:pt idx="8">
                  <c:v>22</c:v>
                </c:pt>
                <c:pt idx="9">
                  <c:v>38.733333333333334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EC-478F-8DC8-2708650E1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906960"/>
        <c:axId val="1"/>
      </c:scatterChart>
      <c:valAx>
        <c:axId val="599906960"/>
        <c:scaling>
          <c:orientation val="minMax"/>
          <c:max val="1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Department Number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Ratio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999069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0058770051003905"/>
          <c:y val="0.52106476712583871"/>
          <c:w val="0.29158533265533582"/>
          <c:h val="9.756097560975607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questionnaire!$AT$3</c:f>
          <c:strCache>
            <c:ptCount val="1"/>
            <c:pt idx="0">
              <c:v>Scoring for Department 1</c:v>
            </c:pt>
          </c:strCache>
        </c:strRef>
      </c:tx>
      <c:layout>
        <c:manualLayout>
          <c:xMode val="edge"/>
          <c:yMode val="edge"/>
          <c:x val="0.26860428842576062"/>
          <c:y val="5.092592592592592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Score</c:v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questionnaire!$C$6:$C$20</c:f>
              <c:numCache>
                <c:formatCode>#,##0_);\(#,##0\)</c:formatCode>
                <c:ptCount val="15"/>
                <c:pt idx="0">
                  <c:v>91</c:v>
                </c:pt>
                <c:pt idx="1">
                  <c:v>53</c:v>
                </c:pt>
                <c:pt idx="2">
                  <c:v>77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21</c:v>
                </c:pt>
                <c:pt idx="9">
                  <c:v>33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9-47B1-A3B6-108835A0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9905648"/>
        <c:axId val="1"/>
      </c:barChart>
      <c:lineChart>
        <c:grouping val="standard"/>
        <c:varyColors val="0"/>
        <c:ser>
          <c:idx val="1"/>
          <c:order val="1"/>
          <c:tx>
            <c:v>Average Score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questionnaire!$D$6:$D$20</c:f>
              <c:numCache>
                <c:formatCode>#,##0_);\(#,##0\)</c:formatCode>
                <c:ptCount val="1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9-47B1-A3B6-108835A0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905648"/>
        <c:axId val="1"/>
      </c:lineChart>
      <c:catAx>
        <c:axId val="59990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Question</a:t>
                </a:r>
                <a:r>
                  <a:rPr lang="en-US" baseline="0"/>
                  <a:t> Number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Score</a:t>
                </a:r>
              </a:p>
            </c:rich>
          </c:tx>
          <c:overlay val="0"/>
        </c:title>
        <c:numFmt formatCode="#,##0_);\(#,##0\)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999056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225426</xdr:colOff>
      <xdr:row>0</xdr:row>
      <xdr:rowOff>0</xdr:rowOff>
    </xdr:from>
    <xdr:ext cx="1441450" cy="1081088"/>
    <xdr:pic>
      <xdr:nvPicPr>
        <xdr:cNvPr id="2" name="Picture 1" descr="Image result for ntt logo">
          <a:extLst>
            <a:ext uri="{FF2B5EF4-FFF2-40B4-BE49-F238E27FC236}">
              <a16:creationId xmlns:a16="http://schemas.microsoft.com/office/drawing/2014/main" id="{2CF24A6D-E704-41BF-8294-ECFD8FDA54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426" y="409576"/>
          <a:ext cx="1441450" cy="108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27</xdr:row>
          <xdr:rowOff>15875</xdr:rowOff>
        </xdr:from>
        <xdr:to>
          <xdr:col>1</xdr:col>
          <xdr:colOff>2044700</xdr:colOff>
          <xdr:row>28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106507</xdr:colOff>
      <xdr:row>23</xdr:row>
      <xdr:rowOff>107372</xdr:rowOff>
    </xdr:from>
    <xdr:to>
      <xdr:col>16</xdr:col>
      <xdr:colOff>249382</xdr:colOff>
      <xdr:row>46</xdr:row>
      <xdr:rowOff>56284</xdr:rowOff>
    </xdr:to>
    <xdr:graphicFrame macro="">
      <xdr:nvGraphicFramePr>
        <xdr:cNvPr id="11271" name="ChartCloudReadiness">
          <a:extLst>
            <a:ext uri="{FF2B5EF4-FFF2-40B4-BE49-F238E27FC236}">
              <a16:creationId xmlns:a16="http://schemas.microsoft.com/office/drawing/2014/main" id="{00000000-0008-0000-0500-0000072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20</xdr:row>
      <xdr:rowOff>152400</xdr:rowOff>
    </xdr:from>
    <xdr:to>
      <xdr:col>6</xdr:col>
      <xdr:colOff>438150</xdr:colOff>
      <xdr:row>37</xdr:row>
      <xdr:rowOff>0</xdr:rowOff>
    </xdr:to>
    <xdr:graphicFrame macro="">
      <xdr:nvGraphicFramePr>
        <xdr:cNvPr id="11272" name="ChartDepartment">
          <a:extLst>
            <a:ext uri="{FF2B5EF4-FFF2-40B4-BE49-F238E27FC236}">
              <a16:creationId xmlns:a16="http://schemas.microsoft.com/office/drawing/2014/main" id="{00000000-0008-0000-0500-0000082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ropbox.com/s/1rf0z44vwig84ty/NTT%20Software%20%28SaaSMax%29.xlsx?dl=0" TargetMode="External"/><Relationship Id="rId13" Type="http://schemas.openxmlformats.org/officeDocument/2006/relationships/hyperlink" Target="http://www.cisco.com/c/dam/en/us/td/i/200001-300000/290001-300000/299001-300000/299328.jpg" TargetMode="External"/><Relationship Id="rId18" Type="http://schemas.openxmlformats.org/officeDocument/2006/relationships/hyperlink" Target="http://www.memory-alpha.wikia.com/wiki/Life_support_system" TargetMode="External"/><Relationship Id="rId3" Type="http://schemas.openxmlformats.org/officeDocument/2006/relationships/hyperlink" Target="http://www.dropbox.com/s/mfdfhj6w325dcjf/NTT%20Hardware%20%28SaaSMax%29.xlsx?dl=0" TargetMode="External"/><Relationship Id="rId21" Type="http://schemas.openxmlformats.org/officeDocument/2006/relationships/hyperlink" Target="http://www.space.com/21201-star-trek-technology-explained-infographic.html" TargetMode="External"/><Relationship Id="rId7" Type="http://schemas.openxmlformats.org/officeDocument/2006/relationships/hyperlink" Target="http://www.dropbox.com/s/1rf0z44vwig84ty/NTT%20Software%20%28SaaSMax%29.xlsx?dl=0" TargetMode="External"/><Relationship Id="rId12" Type="http://schemas.openxmlformats.org/officeDocument/2006/relationships/hyperlink" Target="http://www.cisco.com/c/dam/en/us/td/i/200001-300000/290001-300000/299001-300000/299328.jpg" TargetMode="External"/><Relationship Id="rId17" Type="http://schemas.openxmlformats.org/officeDocument/2006/relationships/hyperlink" Target="http://www.conceptdraw.com/examples/images-of-network-topologies" TargetMode="External"/><Relationship Id="rId25" Type="http://schemas.openxmlformats.org/officeDocument/2006/relationships/comments" Target="../comments1.xml"/><Relationship Id="rId2" Type="http://schemas.openxmlformats.org/officeDocument/2006/relationships/hyperlink" Target="http://www.linkedin.com/in/maryraitt" TargetMode="External"/><Relationship Id="rId16" Type="http://schemas.openxmlformats.org/officeDocument/2006/relationships/hyperlink" Target="http://www.sharpusa.com/ForBusiness/DocumentSystems/MFPs/Archives/MX5001N.aspx" TargetMode="External"/><Relationship Id="rId20" Type="http://schemas.openxmlformats.org/officeDocument/2006/relationships/hyperlink" Target="http://www.screenprism.com/insights/article/what-does-impulse-power-mean-in-star-trek" TargetMode="External"/><Relationship Id="rId1" Type="http://schemas.openxmlformats.org/officeDocument/2006/relationships/hyperlink" Target="http://logok.org/wp-content/uploads/2015/03/NTT-logo-logotype.png" TargetMode="External"/><Relationship Id="rId6" Type="http://schemas.openxmlformats.org/officeDocument/2006/relationships/hyperlink" Target="http://www.dropbox.com/s/l9ctwekv724y9mg/NTT%20Invoice.gif?dl=0" TargetMode="External"/><Relationship Id="rId11" Type="http://schemas.openxmlformats.org/officeDocument/2006/relationships/hyperlink" Target="http://www.support.microsoft.com/en-us/help/10737/windows-7-system-requirements" TargetMode="External"/><Relationship Id="rId24" Type="http://schemas.openxmlformats.org/officeDocument/2006/relationships/vmlDrawing" Target="../drawings/vmlDrawing1.vml"/><Relationship Id="rId5" Type="http://schemas.openxmlformats.org/officeDocument/2006/relationships/hyperlink" Target="http://www.dropbox.com/s/l9ctwekv724y9mg/NTT%20Invoice.gif?dl=0" TargetMode="External"/><Relationship Id="rId15" Type="http://schemas.openxmlformats.org/officeDocument/2006/relationships/hyperlink" Target="http://www.usa.canon.com/internet/portal/us/home/support/details/copiers-mfps-fax-machines/support-multifunction/imagerunner-4570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://www.support.hp.com/us-en/document/c02779493" TargetMode="External"/><Relationship Id="rId19" Type="http://schemas.openxmlformats.org/officeDocument/2006/relationships/hyperlink" Target="http://www.iflscience.com/technology/star-trek-s-photon-torpedoes-are-almost-possible/" TargetMode="External"/><Relationship Id="rId4" Type="http://schemas.openxmlformats.org/officeDocument/2006/relationships/hyperlink" Target="http://www.dropbox.com/s/mfdfhj6w325dcjf/NTT%20Hardware%20%28SaaSMax%29.xlsx?dl=0" TargetMode="External"/><Relationship Id="rId9" Type="http://schemas.openxmlformats.org/officeDocument/2006/relationships/hyperlink" Target="http://www.cisco.com/c/dam/en/us/td/i/200001-300000/290001-300000/299001-300000/299328.jpg" TargetMode="External"/><Relationship Id="rId14" Type="http://schemas.openxmlformats.org/officeDocument/2006/relationships/hyperlink" Target="http://www.jmp.com/support/notes/35/293.html" TargetMode="External"/><Relationship Id="rId22" Type="http://schemas.openxmlformats.org/officeDocument/2006/relationships/hyperlink" Target="http://www.screenprism.com/insights/article/what-does-impulse-power-mean-in-star-tre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8"/>
  <sheetViews>
    <sheetView workbookViewId="0">
      <pane xSplit="4" ySplit="2" topLeftCell="E84" activePane="bottomRight" state="frozen"/>
      <selection pane="topRight" activeCell="E1" sqref="E1"/>
      <selection pane="bottomLeft" activeCell="A3" sqref="A3"/>
      <selection pane="bottomRight" activeCell="C89" sqref="C89"/>
    </sheetView>
  </sheetViews>
  <sheetFormatPr defaultColWidth="8.85546875" defaultRowHeight="15"/>
  <cols>
    <col min="1" max="1" width="21.140625" customWidth="1"/>
    <col min="2" max="2" width="26.42578125" customWidth="1"/>
    <col min="3" max="3" width="22.140625" customWidth="1"/>
    <col min="4" max="4" width="23.28515625" customWidth="1"/>
    <col min="5" max="5" width="31.140625" bestFit="1" customWidth="1"/>
    <col min="6" max="6" width="18.42578125" customWidth="1"/>
    <col min="7" max="7" width="100.7109375" customWidth="1"/>
    <col min="8" max="8" width="6.7109375" bestFit="1" customWidth="1"/>
  </cols>
  <sheetData>
    <row r="1" spans="1:9" ht="69.75" customHeight="1">
      <c r="A1" s="65" t="s">
        <v>235</v>
      </c>
      <c r="B1" s="64" t="s">
        <v>170</v>
      </c>
      <c r="C1" s="64">
        <v>6</v>
      </c>
      <c r="D1" s="62"/>
      <c r="E1" s="62"/>
      <c r="F1" s="63"/>
      <c r="G1" s="62"/>
      <c r="H1" s="62"/>
    </row>
    <row r="2" spans="1:9" ht="15.75">
      <c r="A2" s="61" t="s">
        <v>113</v>
      </c>
      <c r="B2" s="61" t="s">
        <v>112</v>
      </c>
      <c r="C2" s="61" t="s">
        <v>111</v>
      </c>
      <c r="D2" s="61" t="s">
        <v>110</v>
      </c>
      <c r="E2" s="61" t="s">
        <v>109</v>
      </c>
      <c r="F2" s="61" t="s">
        <v>108</v>
      </c>
      <c r="G2" s="61" t="s">
        <v>107</v>
      </c>
      <c r="H2" s="56" t="s">
        <v>106</v>
      </c>
    </row>
    <row r="3" spans="1:9">
      <c r="A3" t="s">
        <v>114</v>
      </c>
      <c r="B3" t="s">
        <v>199</v>
      </c>
      <c r="C3" s="46" t="s">
        <v>116</v>
      </c>
      <c r="D3" s="48" t="s">
        <v>117</v>
      </c>
      <c r="E3" s="46" t="s">
        <v>118</v>
      </c>
      <c r="F3" s="46" t="s">
        <v>175</v>
      </c>
      <c r="G3" s="49" t="s">
        <v>171</v>
      </c>
      <c r="H3" s="56"/>
    </row>
    <row r="4" spans="1:9">
      <c r="A4" t="s">
        <v>114</v>
      </c>
      <c r="B4" t="s">
        <v>199</v>
      </c>
      <c r="C4" s="46" t="s">
        <v>116</v>
      </c>
      <c r="D4" s="48" t="s">
        <v>119</v>
      </c>
      <c r="E4" s="46">
        <v>123456789</v>
      </c>
      <c r="F4" s="46"/>
      <c r="G4" s="18"/>
      <c r="H4" s="56"/>
    </row>
    <row r="5" spans="1:9">
      <c r="A5" t="s">
        <v>114</v>
      </c>
      <c r="B5" t="s">
        <v>199</v>
      </c>
      <c r="C5" s="46" t="s">
        <v>116</v>
      </c>
      <c r="D5" s="46" t="s">
        <v>195</v>
      </c>
      <c r="E5" s="47">
        <v>43101</v>
      </c>
      <c r="F5" s="46" t="s">
        <v>194</v>
      </c>
      <c r="G5" s="49" t="s">
        <v>173</v>
      </c>
      <c r="H5" s="56"/>
    </row>
    <row r="6" spans="1:9">
      <c r="A6" t="s">
        <v>114</v>
      </c>
      <c r="B6" t="s">
        <v>199</v>
      </c>
      <c r="C6" s="46" t="s">
        <v>116</v>
      </c>
      <c r="D6" s="46" t="s">
        <v>196</v>
      </c>
      <c r="E6" s="48" t="s">
        <v>197</v>
      </c>
      <c r="F6" s="46"/>
      <c r="G6" s="49" t="s">
        <v>173</v>
      </c>
      <c r="H6" s="56"/>
    </row>
    <row r="7" spans="1:9">
      <c r="A7" t="s">
        <v>114</v>
      </c>
      <c r="B7" t="s">
        <v>199</v>
      </c>
      <c r="C7" t="s">
        <v>290</v>
      </c>
      <c r="D7" s="48" t="s">
        <v>198</v>
      </c>
      <c r="E7" s="79">
        <f>AverageOverall</f>
        <v>46.506666666666675</v>
      </c>
      <c r="F7" s="46" t="s">
        <v>176</v>
      </c>
      <c r="G7" s="49" t="s">
        <v>253</v>
      </c>
      <c r="H7" s="56"/>
    </row>
    <row r="8" spans="1:9">
      <c r="A8" t="s">
        <v>114</v>
      </c>
      <c r="B8" t="s">
        <v>199</v>
      </c>
      <c r="C8" t="s">
        <v>290</v>
      </c>
      <c r="D8" s="78" t="s">
        <v>246</v>
      </c>
      <c r="E8" s="79">
        <f>AverageRatio</f>
        <v>13.001931216931217</v>
      </c>
      <c r="F8" s="46" t="s">
        <v>291</v>
      </c>
      <c r="G8" s="49" t="s">
        <v>232</v>
      </c>
      <c r="H8" s="56"/>
    </row>
    <row r="9" spans="1:9">
      <c r="A9" t="s">
        <v>114</v>
      </c>
      <c r="B9" s="46" t="s">
        <v>242</v>
      </c>
      <c r="C9" s="48" t="s">
        <v>279</v>
      </c>
      <c r="D9" s="48" t="s">
        <v>198</v>
      </c>
      <c r="E9" s="71">
        <f>AverageOverall</f>
        <v>46.506666666666675</v>
      </c>
      <c r="F9" s="46" t="s">
        <v>176</v>
      </c>
      <c r="G9" s="49" t="s">
        <v>253</v>
      </c>
      <c r="H9" s="56"/>
    </row>
    <row r="10" spans="1:9">
      <c r="A10" t="s">
        <v>114</v>
      </c>
      <c r="B10" s="46" t="s">
        <v>242</v>
      </c>
      <c r="C10" t="s">
        <v>217</v>
      </c>
      <c r="D10" t="s">
        <v>137</v>
      </c>
      <c r="E10" s="66">
        <f t="shared" ref="E10:E24" ca="1" si="0">OFFSET(AverageAnchor,$I10,0)</f>
        <v>43.9</v>
      </c>
      <c r="F10" t="s">
        <v>155</v>
      </c>
      <c r="G10" t="s">
        <v>260</v>
      </c>
      <c r="H10" s="56"/>
      <c r="I10">
        <v>1</v>
      </c>
    </row>
    <row r="11" spans="1:9">
      <c r="A11" t="s">
        <v>114</v>
      </c>
      <c r="B11" s="46" t="s">
        <v>242</v>
      </c>
      <c r="C11" t="s">
        <v>218</v>
      </c>
      <c r="D11" t="s">
        <v>138</v>
      </c>
      <c r="E11" s="66">
        <f t="shared" ca="1" si="0"/>
        <v>57.2</v>
      </c>
      <c r="F11" t="s">
        <v>156</v>
      </c>
      <c r="G11" t="s">
        <v>260</v>
      </c>
      <c r="H11" s="56"/>
      <c r="I11">
        <v>2</v>
      </c>
    </row>
    <row r="12" spans="1:9">
      <c r="A12" t="s">
        <v>114</v>
      </c>
      <c r="B12" s="46" t="s">
        <v>242</v>
      </c>
      <c r="C12" t="s">
        <v>219</v>
      </c>
      <c r="D12" t="s">
        <v>139</v>
      </c>
      <c r="E12" s="66">
        <f t="shared" ca="1" si="0"/>
        <v>52.9</v>
      </c>
      <c r="F12" t="s">
        <v>157</v>
      </c>
      <c r="G12" t="s">
        <v>260</v>
      </c>
      <c r="H12" s="56"/>
      <c r="I12">
        <v>3</v>
      </c>
    </row>
    <row r="13" spans="1:9">
      <c r="A13" t="s">
        <v>114</v>
      </c>
      <c r="B13" s="46" t="s">
        <v>242</v>
      </c>
      <c r="C13" t="s">
        <v>220</v>
      </c>
      <c r="D13" t="s">
        <v>140</v>
      </c>
      <c r="E13" s="66">
        <f t="shared" ca="1" si="0"/>
        <v>48.1</v>
      </c>
      <c r="F13" t="s">
        <v>158</v>
      </c>
      <c r="G13" t="s">
        <v>260</v>
      </c>
      <c r="H13" s="56"/>
      <c r="I13">
        <v>4</v>
      </c>
    </row>
    <row r="14" spans="1:9">
      <c r="A14" t="s">
        <v>114</v>
      </c>
      <c r="B14" s="46" t="s">
        <v>242</v>
      </c>
      <c r="C14" t="s">
        <v>221</v>
      </c>
      <c r="D14" t="s">
        <v>141</v>
      </c>
      <c r="E14" s="66">
        <f t="shared" ca="1" si="0"/>
        <v>45.4</v>
      </c>
      <c r="F14" t="s">
        <v>159</v>
      </c>
      <c r="G14" t="s">
        <v>260</v>
      </c>
      <c r="H14" s="56"/>
      <c r="I14">
        <v>5</v>
      </c>
    </row>
    <row r="15" spans="1:9">
      <c r="A15" t="s">
        <v>114</v>
      </c>
      <c r="B15" s="46" t="s">
        <v>242</v>
      </c>
      <c r="C15" t="s">
        <v>222</v>
      </c>
      <c r="D15" t="s">
        <v>142</v>
      </c>
      <c r="E15" s="66">
        <f t="shared" ca="1" si="0"/>
        <v>35.9</v>
      </c>
      <c r="F15" t="s">
        <v>160</v>
      </c>
      <c r="G15" t="s">
        <v>260</v>
      </c>
      <c r="H15" s="56"/>
      <c r="I15">
        <v>6</v>
      </c>
    </row>
    <row r="16" spans="1:9">
      <c r="A16" t="s">
        <v>114</v>
      </c>
      <c r="B16" s="46" t="s">
        <v>242</v>
      </c>
      <c r="C16" t="s">
        <v>223</v>
      </c>
      <c r="D16" t="s">
        <v>143</v>
      </c>
      <c r="E16" s="66">
        <f t="shared" ca="1" si="0"/>
        <v>41.9</v>
      </c>
      <c r="F16" t="s">
        <v>133</v>
      </c>
      <c r="G16" t="s">
        <v>260</v>
      </c>
      <c r="H16" s="56"/>
      <c r="I16">
        <v>7</v>
      </c>
    </row>
    <row r="17" spans="1:9">
      <c r="A17" t="s">
        <v>114</v>
      </c>
      <c r="B17" s="46" t="s">
        <v>242</v>
      </c>
      <c r="C17" t="s">
        <v>224</v>
      </c>
      <c r="D17" t="s">
        <v>144</v>
      </c>
      <c r="E17" s="66">
        <f t="shared" ca="1" si="0"/>
        <v>68.099999999999994</v>
      </c>
      <c r="F17" t="s">
        <v>161</v>
      </c>
      <c r="G17" t="s">
        <v>260</v>
      </c>
      <c r="H17" s="56"/>
      <c r="I17">
        <v>8</v>
      </c>
    </row>
    <row r="18" spans="1:9">
      <c r="A18" t="s">
        <v>114</v>
      </c>
      <c r="B18" s="46" t="s">
        <v>242</v>
      </c>
      <c r="C18" t="s">
        <v>225</v>
      </c>
      <c r="D18" t="s">
        <v>145</v>
      </c>
      <c r="E18" s="66">
        <f t="shared" ca="1" si="0"/>
        <v>28.1</v>
      </c>
      <c r="F18" t="s">
        <v>162</v>
      </c>
      <c r="G18" t="s">
        <v>260</v>
      </c>
      <c r="H18" s="56"/>
      <c r="I18">
        <v>9</v>
      </c>
    </row>
    <row r="19" spans="1:9">
      <c r="A19" t="s">
        <v>114</v>
      </c>
      <c r="B19" s="46" t="s">
        <v>242</v>
      </c>
      <c r="C19" t="s">
        <v>226</v>
      </c>
      <c r="D19" t="s">
        <v>146</v>
      </c>
      <c r="E19" s="66">
        <f t="shared" ca="1" si="0"/>
        <v>34.1</v>
      </c>
      <c r="F19" t="s">
        <v>163</v>
      </c>
      <c r="G19" t="s">
        <v>260</v>
      </c>
      <c r="H19" s="56"/>
      <c r="I19">
        <v>10</v>
      </c>
    </row>
    <row r="20" spans="1:9">
      <c r="A20" t="s">
        <v>114</v>
      </c>
      <c r="B20" s="46" t="s">
        <v>242</v>
      </c>
      <c r="C20" t="s">
        <v>227</v>
      </c>
      <c r="D20" t="s">
        <v>147</v>
      </c>
      <c r="E20" s="66">
        <f t="shared" ca="1" si="0"/>
        <v>35.299999999999997</v>
      </c>
      <c r="F20" t="s">
        <v>164</v>
      </c>
      <c r="G20" t="s">
        <v>260</v>
      </c>
      <c r="H20" s="56"/>
      <c r="I20">
        <v>11</v>
      </c>
    </row>
    <row r="21" spans="1:9">
      <c r="A21" t="s">
        <v>114</v>
      </c>
      <c r="B21" s="46" t="s">
        <v>242</v>
      </c>
      <c r="C21" t="s">
        <v>228</v>
      </c>
      <c r="D21" t="s">
        <v>148</v>
      </c>
      <c r="E21" s="66">
        <f t="shared" ca="1" si="0"/>
        <v>63.3</v>
      </c>
      <c r="F21" t="s">
        <v>165</v>
      </c>
      <c r="G21" t="s">
        <v>260</v>
      </c>
      <c r="H21" s="56"/>
      <c r="I21">
        <v>12</v>
      </c>
    </row>
    <row r="22" spans="1:9">
      <c r="A22" t="s">
        <v>114</v>
      </c>
      <c r="B22" s="46" t="s">
        <v>242</v>
      </c>
      <c r="C22" t="s">
        <v>229</v>
      </c>
      <c r="D22" t="s">
        <v>149</v>
      </c>
      <c r="E22" s="66">
        <f t="shared" ca="1" si="0"/>
        <v>45.1</v>
      </c>
      <c r="F22" t="s">
        <v>166</v>
      </c>
      <c r="G22" t="s">
        <v>260</v>
      </c>
      <c r="H22" s="56"/>
      <c r="I22">
        <v>13</v>
      </c>
    </row>
    <row r="23" spans="1:9">
      <c r="A23" t="s">
        <v>114</v>
      </c>
      <c r="B23" s="46" t="s">
        <v>242</v>
      </c>
      <c r="C23" t="s">
        <v>230</v>
      </c>
      <c r="D23" t="s">
        <v>151</v>
      </c>
      <c r="E23" s="66">
        <f t="shared" ca="1" si="0"/>
        <v>39.6</v>
      </c>
      <c r="F23" t="s">
        <v>167</v>
      </c>
      <c r="G23" t="s">
        <v>260</v>
      </c>
      <c r="H23" s="56"/>
      <c r="I23">
        <v>14</v>
      </c>
    </row>
    <row r="24" spans="1:9">
      <c r="A24" t="s">
        <v>114</v>
      </c>
      <c r="B24" s="46" t="s">
        <v>242</v>
      </c>
      <c r="C24" t="s">
        <v>231</v>
      </c>
      <c r="D24" t="s">
        <v>150</v>
      </c>
      <c r="E24" s="66">
        <f t="shared" ca="1" si="0"/>
        <v>58.7</v>
      </c>
      <c r="F24" t="s">
        <v>168</v>
      </c>
      <c r="G24" t="s">
        <v>260</v>
      </c>
      <c r="H24" s="56"/>
      <c r="I24">
        <v>15</v>
      </c>
    </row>
    <row r="25" spans="1:9">
      <c r="A25" t="s">
        <v>114</v>
      </c>
      <c r="B25" t="s">
        <v>249</v>
      </c>
      <c r="C25" s="46" t="s">
        <v>243</v>
      </c>
      <c r="D25" s="78" t="s">
        <v>244</v>
      </c>
      <c r="E25" s="79">
        <f>AverageOverall</f>
        <v>46.506666666666675</v>
      </c>
      <c r="F25" s="46"/>
      <c r="G25" s="49" t="s">
        <v>253</v>
      </c>
      <c r="H25" s="56"/>
    </row>
    <row r="26" spans="1:9">
      <c r="A26" t="s">
        <v>114</v>
      </c>
      <c r="B26" t="s">
        <v>249</v>
      </c>
      <c r="C26" s="46" t="s">
        <v>243</v>
      </c>
      <c r="D26" s="78" t="s">
        <v>245</v>
      </c>
      <c r="E26" s="54">
        <f>AverageCost</f>
        <v>55000</v>
      </c>
      <c r="F26" s="46"/>
      <c r="G26" s="49" t="s">
        <v>253</v>
      </c>
      <c r="H26" s="56"/>
    </row>
    <row r="27" spans="1:9">
      <c r="A27" t="s">
        <v>114</v>
      </c>
      <c r="B27" t="s">
        <v>249</v>
      </c>
      <c r="C27" s="46" t="s">
        <v>243</v>
      </c>
      <c r="D27" s="78" t="s">
        <v>246</v>
      </c>
      <c r="E27" s="79">
        <f>AverageRatio</f>
        <v>13.001931216931217</v>
      </c>
      <c r="F27" s="46" t="s">
        <v>247</v>
      </c>
      <c r="G27" s="49" t="s">
        <v>232</v>
      </c>
      <c r="H27" s="56"/>
    </row>
    <row r="28" spans="1:9">
      <c r="A28" t="s">
        <v>114</v>
      </c>
      <c r="B28" t="s">
        <v>249</v>
      </c>
      <c r="C28" t="str">
        <f>"Department " &amp;I28</f>
        <v>Department 1</v>
      </c>
      <c r="D28" s="48" t="str">
        <f>"Dept "&amp; $I28 &amp; " Name"</f>
        <v>Dept 1 Name</v>
      </c>
      <c r="E28" s="48" t="str">
        <f ca="1">OFFSET(DepartmentNames,$I28,0)</f>
        <v>Engines</v>
      </c>
      <c r="F28" s="48"/>
      <c r="G28" s="49" t="s">
        <v>284</v>
      </c>
      <c r="H28" s="56"/>
      <c r="I28">
        <v>1</v>
      </c>
    </row>
    <row r="29" spans="1:9">
      <c r="A29" t="s">
        <v>114</v>
      </c>
      <c r="B29" t="s">
        <v>249</v>
      </c>
      <c r="C29" t="str">
        <f t="shared" ref="C29:C77" si="1">"Department " &amp;I29</f>
        <v>Department 1</v>
      </c>
      <c r="D29" s="48" t="str">
        <f>"Dept "&amp; $I29 &amp; " Current Setup"</f>
        <v>Dept 1 Current Setup</v>
      </c>
      <c r="E29" s="48" t="str">
        <f ca="1">OFFSET(DepartmentSetup,$I29,0)</f>
        <v>Bare Metal Servers and Virtual Machines</v>
      </c>
      <c r="F29" s="48"/>
      <c r="G29" s="49" t="s">
        <v>169</v>
      </c>
      <c r="H29" s="56"/>
      <c r="I29">
        <v>1</v>
      </c>
    </row>
    <row r="30" spans="1:9">
      <c r="A30" t="s">
        <v>114</v>
      </c>
      <c r="B30" t="s">
        <v>249</v>
      </c>
      <c r="C30" t="str">
        <f t="shared" si="1"/>
        <v>Department 1</v>
      </c>
      <c r="D30" s="48" t="str">
        <f>"Dept "&amp; $I30 &amp; " Readiness Score"</f>
        <v>Dept 1 Readiness Score</v>
      </c>
      <c r="E30" s="79">
        <f ca="1">OFFSET(OverallAnchor,0,$I30)</f>
        <v>19</v>
      </c>
      <c r="F30" s="48"/>
      <c r="G30" s="49" t="s">
        <v>207</v>
      </c>
      <c r="H30" s="56"/>
      <c r="I30">
        <v>1</v>
      </c>
    </row>
    <row r="31" spans="1:9">
      <c r="A31" t="s">
        <v>114</v>
      </c>
      <c r="B31" t="s">
        <v>249</v>
      </c>
      <c r="C31" t="str">
        <f t="shared" si="1"/>
        <v>Department 1</v>
      </c>
      <c r="D31" s="48" t="str">
        <f>"Dept "&amp; $I31 &amp; " Cost to Migrate"</f>
        <v>Dept 1 Cost to Migrate</v>
      </c>
      <c r="E31" s="54">
        <f ca="1">OFFSET(CostAnchor,0,$I31)</f>
        <v>100000</v>
      </c>
      <c r="F31" s="48"/>
      <c r="G31" s="49" t="s">
        <v>253</v>
      </c>
      <c r="H31" s="56"/>
      <c r="I31">
        <v>1</v>
      </c>
    </row>
    <row r="32" spans="1:9">
      <c r="A32" t="s">
        <v>114</v>
      </c>
      <c r="B32" t="s">
        <v>249</v>
      </c>
      <c r="C32" t="str">
        <f t="shared" si="1"/>
        <v>Department 1</v>
      </c>
      <c r="D32" s="48" t="str">
        <f>"Dept "&amp; $I32 &amp; " Score / Cost Ratio"</f>
        <v>Dept 1 Score / Cost Ratio</v>
      </c>
      <c r="E32" s="79">
        <f ca="1">OFFSET(RatioAnchor,0,$I32)</f>
        <v>1.9</v>
      </c>
      <c r="F32" s="48" t="s">
        <v>236</v>
      </c>
      <c r="G32" s="49" t="s">
        <v>253</v>
      </c>
      <c r="H32" s="56"/>
      <c r="I32">
        <v>1</v>
      </c>
    </row>
    <row r="33" spans="1:9">
      <c r="A33" t="s">
        <v>114</v>
      </c>
      <c r="B33" t="s">
        <v>249</v>
      </c>
      <c r="C33" t="str">
        <f t="shared" si="1"/>
        <v>Department 2</v>
      </c>
      <c r="D33" s="48" t="str">
        <f>"Dept "&amp; $I33 &amp; " Name"</f>
        <v>Dept 2 Name</v>
      </c>
      <c r="E33" s="48" t="str">
        <f ca="1">OFFSET(DepartmentNames,$I33,0)</f>
        <v>Life Support</v>
      </c>
      <c r="F33" s="48"/>
      <c r="G33" s="49" t="s">
        <v>281</v>
      </c>
      <c r="H33" s="56"/>
      <c r="I33">
        <v>2</v>
      </c>
    </row>
    <row r="34" spans="1:9">
      <c r="A34" t="s">
        <v>114</v>
      </c>
      <c r="B34" t="s">
        <v>249</v>
      </c>
      <c r="C34" t="str">
        <f t="shared" si="1"/>
        <v>Department 2</v>
      </c>
      <c r="D34" s="48" t="str">
        <f>"Dept "&amp; $I34 &amp; " Current Setup"</f>
        <v>Dept 2 Current Setup</v>
      </c>
      <c r="E34" s="48" t="str">
        <f ca="1">OFFSET(DepartmentSetup,$I34,0)</f>
        <v>Bare Metal Servers and Virtual Machines</v>
      </c>
      <c r="F34" s="48"/>
      <c r="G34" s="49" t="s">
        <v>169</v>
      </c>
      <c r="H34" s="56"/>
      <c r="I34">
        <v>2</v>
      </c>
    </row>
    <row r="35" spans="1:9">
      <c r="A35" t="s">
        <v>114</v>
      </c>
      <c r="B35" t="s">
        <v>249</v>
      </c>
      <c r="C35" t="str">
        <f t="shared" si="1"/>
        <v>Department 2</v>
      </c>
      <c r="D35" s="48" t="str">
        <f>"Dept "&amp; $I35 &amp; " Readiness Score"</f>
        <v>Dept 2 Readiness Score</v>
      </c>
      <c r="E35" s="79">
        <f ca="1">OFFSET(OverallAnchor,0,$I35)</f>
        <v>63.466666666666669</v>
      </c>
      <c r="F35" s="48"/>
      <c r="G35" s="49" t="s">
        <v>208</v>
      </c>
      <c r="H35" s="56"/>
      <c r="I35">
        <v>2</v>
      </c>
    </row>
    <row r="36" spans="1:9">
      <c r="A36" t="s">
        <v>114</v>
      </c>
      <c r="B36" t="s">
        <v>249</v>
      </c>
      <c r="C36" t="str">
        <f t="shared" si="1"/>
        <v>Department 2</v>
      </c>
      <c r="D36" s="48" t="str">
        <f>"Dept "&amp; $I36 &amp; " Cost to Migrate"</f>
        <v>Dept 2 Cost to Migrate</v>
      </c>
      <c r="E36" s="54">
        <f ca="1">OFFSET(CostAnchor,0,$I36)</f>
        <v>90000</v>
      </c>
      <c r="F36" s="48"/>
      <c r="G36" s="49" t="s">
        <v>253</v>
      </c>
      <c r="H36" s="56"/>
      <c r="I36">
        <v>2</v>
      </c>
    </row>
    <row r="37" spans="1:9">
      <c r="A37" t="s">
        <v>114</v>
      </c>
      <c r="B37" t="s">
        <v>249</v>
      </c>
      <c r="C37" t="str">
        <f t="shared" si="1"/>
        <v>Department 2</v>
      </c>
      <c r="D37" s="48" t="str">
        <f>"Dept "&amp; $I37 &amp; " Score / Cost Ratio"</f>
        <v>Dept 2 Score / Cost Ratio</v>
      </c>
      <c r="E37" s="79">
        <f ca="1">OFFSET(RatioAnchor,0,$I37)</f>
        <v>7.0518518518518514</v>
      </c>
      <c r="F37" s="48" t="s">
        <v>236</v>
      </c>
      <c r="G37" s="49" t="s">
        <v>253</v>
      </c>
      <c r="H37" s="56"/>
      <c r="I37">
        <v>2</v>
      </c>
    </row>
    <row r="38" spans="1:9">
      <c r="A38" t="s">
        <v>114</v>
      </c>
      <c r="B38" t="s">
        <v>249</v>
      </c>
      <c r="C38" t="str">
        <f t="shared" si="1"/>
        <v>Department 3</v>
      </c>
      <c r="D38" s="48" t="str">
        <f>"Dept "&amp; $I38 &amp; " Name"</f>
        <v>Dept 3 Name</v>
      </c>
      <c r="E38" s="48" t="str">
        <f ca="1">OFFSET(DepartmentNames,$I38,0)</f>
        <v>Photon Torpedos</v>
      </c>
      <c r="F38" s="48"/>
      <c r="G38" s="57" t="s">
        <v>283</v>
      </c>
      <c r="H38" s="56"/>
      <c r="I38">
        <v>3</v>
      </c>
    </row>
    <row r="39" spans="1:9">
      <c r="A39" t="s">
        <v>114</v>
      </c>
      <c r="B39" t="s">
        <v>249</v>
      </c>
      <c r="C39" t="str">
        <f t="shared" si="1"/>
        <v>Department 3</v>
      </c>
      <c r="D39" s="48" t="str">
        <f>"Dept "&amp; $I39 &amp; " Current Setup"</f>
        <v>Dept 3 Current Setup</v>
      </c>
      <c r="E39" s="48" t="str">
        <f ca="1">OFFSET(DepartmentSetup,$I39,0)</f>
        <v>Bare Metal Servers and Virtual Machines</v>
      </c>
      <c r="F39" s="48"/>
      <c r="G39" s="49" t="s">
        <v>169</v>
      </c>
      <c r="H39" s="56"/>
      <c r="I39">
        <v>3</v>
      </c>
    </row>
    <row r="40" spans="1:9">
      <c r="A40" t="s">
        <v>114</v>
      </c>
      <c r="B40" t="s">
        <v>249</v>
      </c>
      <c r="C40" t="str">
        <f t="shared" si="1"/>
        <v>Department 3</v>
      </c>
      <c r="D40" s="48" t="str">
        <f>"Dept "&amp; $I40 &amp; " Readiness Score"</f>
        <v>Dept 3 Readiness Score</v>
      </c>
      <c r="E40" s="79">
        <f ca="1">OFFSET(OverallAnchor,0,$I40)</f>
        <v>44</v>
      </c>
      <c r="F40" s="48"/>
      <c r="G40" s="49" t="s">
        <v>209</v>
      </c>
      <c r="H40" s="56"/>
      <c r="I40">
        <v>3</v>
      </c>
    </row>
    <row r="41" spans="1:9">
      <c r="A41" t="s">
        <v>114</v>
      </c>
      <c r="B41" t="s">
        <v>249</v>
      </c>
      <c r="C41" t="str">
        <f t="shared" si="1"/>
        <v>Department 3</v>
      </c>
      <c r="D41" s="48" t="str">
        <f>"Dept "&amp; $I41 &amp; " Cost to Migrate"</f>
        <v>Dept 3 Cost to Migrate</v>
      </c>
      <c r="E41" s="54">
        <f ca="1">OFFSET(CostAnchor,0,$I41)</f>
        <v>80000</v>
      </c>
      <c r="F41" s="48"/>
      <c r="G41" s="49" t="s">
        <v>253</v>
      </c>
      <c r="H41" s="56"/>
      <c r="I41">
        <v>3</v>
      </c>
    </row>
    <row r="42" spans="1:9">
      <c r="A42" t="s">
        <v>114</v>
      </c>
      <c r="B42" t="s">
        <v>249</v>
      </c>
      <c r="C42" t="str">
        <f t="shared" si="1"/>
        <v>Department 3</v>
      </c>
      <c r="D42" s="48" t="str">
        <f>"Dept "&amp; $I42 &amp; " Score / Cost Ratio"</f>
        <v>Dept 3 Score / Cost Ratio</v>
      </c>
      <c r="E42" s="79">
        <f ca="1">OFFSET(RatioAnchor,0,$I42)</f>
        <v>5.5</v>
      </c>
      <c r="F42" s="48" t="s">
        <v>236</v>
      </c>
      <c r="G42" s="49" t="s">
        <v>253</v>
      </c>
      <c r="H42" s="56"/>
      <c r="I42">
        <v>3</v>
      </c>
    </row>
    <row r="43" spans="1:9">
      <c r="A43" t="s">
        <v>114</v>
      </c>
      <c r="B43" t="s">
        <v>249</v>
      </c>
      <c r="C43" t="str">
        <f t="shared" si="1"/>
        <v>Department 4</v>
      </c>
      <c r="D43" s="48" t="str">
        <f>"Dept "&amp; $I43 &amp; " Name"</f>
        <v>Dept 4 Name</v>
      </c>
      <c r="E43" s="48" t="str">
        <f ca="1">OFFSET(DepartmentNames,$I43,0)</f>
        <v>Phasers</v>
      </c>
      <c r="F43" s="48"/>
      <c r="G43" s="49" t="s">
        <v>282</v>
      </c>
      <c r="H43" s="56"/>
      <c r="I43">
        <v>4</v>
      </c>
    </row>
    <row r="44" spans="1:9">
      <c r="A44" t="s">
        <v>114</v>
      </c>
      <c r="B44" t="s">
        <v>249</v>
      </c>
      <c r="C44" t="str">
        <f t="shared" si="1"/>
        <v>Department 4</v>
      </c>
      <c r="D44" s="48" t="str">
        <f>"Dept "&amp; $I44 &amp; " Current Setup"</f>
        <v>Dept 4 Current Setup</v>
      </c>
      <c r="E44" s="48" t="str">
        <f ca="1">OFFSET(DepartmentSetup,$I44,0)</f>
        <v>Bare Metal Servers and Virtual Machines</v>
      </c>
      <c r="F44" s="48"/>
      <c r="G44" s="49" t="s">
        <v>169</v>
      </c>
      <c r="H44" s="56"/>
      <c r="I44">
        <v>4</v>
      </c>
    </row>
    <row r="45" spans="1:9">
      <c r="A45" t="s">
        <v>114</v>
      </c>
      <c r="B45" t="s">
        <v>249</v>
      </c>
      <c r="C45" t="str">
        <f t="shared" si="1"/>
        <v>Department 4</v>
      </c>
      <c r="D45" s="48" t="str">
        <f>"Dept "&amp; $I45 &amp; " Readiness Score"</f>
        <v>Dept 4 Readiness Score</v>
      </c>
      <c r="E45" s="79">
        <f ca="1">OFFSET(OverallAnchor,0,$I45)</f>
        <v>61.8</v>
      </c>
      <c r="F45" s="48"/>
      <c r="G45" s="49" t="s">
        <v>210</v>
      </c>
      <c r="H45" s="56"/>
      <c r="I45">
        <v>4</v>
      </c>
    </row>
    <row r="46" spans="1:9">
      <c r="A46" t="s">
        <v>114</v>
      </c>
      <c r="B46" t="s">
        <v>249</v>
      </c>
      <c r="C46" t="str">
        <f t="shared" si="1"/>
        <v>Department 4</v>
      </c>
      <c r="D46" s="48" t="str">
        <f>"Dept "&amp; $I46 &amp; " Cost to Migrate"</f>
        <v>Dept 4 Cost to Migrate</v>
      </c>
      <c r="E46" s="54">
        <f ca="1">OFFSET(CostAnchor,0,$I46)</f>
        <v>70000</v>
      </c>
      <c r="F46" s="48"/>
      <c r="G46" s="49" t="s">
        <v>253</v>
      </c>
      <c r="H46" s="56"/>
      <c r="I46">
        <v>4</v>
      </c>
    </row>
    <row r="47" spans="1:9">
      <c r="A47" t="s">
        <v>114</v>
      </c>
      <c r="B47" t="s">
        <v>249</v>
      </c>
      <c r="C47" t="str">
        <f t="shared" si="1"/>
        <v>Department 4</v>
      </c>
      <c r="D47" s="48" t="str">
        <f>"Dept "&amp; $I47 &amp; " Score / Cost Ratio"</f>
        <v>Dept 4 Score / Cost Ratio</v>
      </c>
      <c r="E47" s="79">
        <f ca="1">OFFSET(RatioAnchor,0,$I47)</f>
        <v>8.8285714285714292</v>
      </c>
      <c r="F47" s="48" t="s">
        <v>236</v>
      </c>
      <c r="G47" s="49" t="s">
        <v>253</v>
      </c>
      <c r="H47" s="56"/>
      <c r="I47">
        <v>4</v>
      </c>
    </row>
    <row r="48" spans="1:9">
      <c r="A48" t="s">
        <v>114</v>
      </c>
      <c r="B48" t="s">
        <v>249</v>
      </c>
      <c r="C48" t="str">
        <f t="shared" si="1"/>
        <v>Department 5</v>
      </c>
      <c r="D48" s="48" t="str">
        <f>"Dept "&amp; $I48 &amp; " Name"</f>
        <v>Dept 5 Name</v>
      </c>
      <c r="E48" s="48" t="str">
        <f ca="1">OFFSET(DepartmentNames,$I48,0)</f>
        <v>Impulse Drive</v>
      </c>
      <c r="F48" s="48"/>
      <c r="G48" s="49" t="s">
        <v>284</v>
      </c>
      <c r="H48" s="56"/>
      <c r="I48">
        <v>5</v>
      </c>
    </row>
    <row r="49" spans="1:9">
      <c r="A49" t="s">
        <v>114</v>
      </c>
      <c r="B49" t="s">
        <v>249</v>
      </c>
      <c r="C49" t="str">
        <f t="shared" si="1"/>
        <v>Department 5</v>
      </c>
      <c r="D49" s="48" t="str">
        <f>"Dept "&amp; $I49 &amp; " Current Setup"</f>
        <v>Dept 5 Current Setup</v>
      </c>
      <c r="E49" s="48" t="str">
        <f ca="1">OFFSET(DepartmentSetup,$I49,0)</f>
        <v>Bare Metal Servers and Virtual Machines</v>
      </c>
      <c r="F49" s="48"/>
      <c r="G49" s="49" t="s">
        <v>169</v>
      </c>
      <c r="H49" s="56"/>
      <c r="I49">
        <v>5</v>
      </c>
    </row>
    <row r="50" spans="1:9">
      <c r="A50" t="s">
        <v>114</v>
      </c>
      <c r="B50" t="s">
        <v>249</v>
      </c>
      <c r="C50" t="str">
        <f t="shared" si="1"/>
        <v>Department 5</v>
      </c>
      <c r="D50" s="48" t="str">
        <f>"Dept "&amp; $I50 &amp; " Readiness Score"</f>
        <v>Dept 5 Readiness Score</v>
      </c>
      <c r="E50" s="79">
        <f ca="1">OFFSET(OverallAnchor,0,$I50)</f>
        <v>57.8</v>
      </c>
      <c r="F50" s="48"/>
      <c r="G50" s="49" t="s">
        <v>211</v>
      </c>
      <c r="H50" s="56"/>
      <c r="I50">
        <v>5</v>
      </c>
    </row>
    <row r="51" spans="1:9">
      <c r="A51" t="s">
        <v>114</v>
      </c>
      <c r="B51" t="s">
        <v>249</v>
      </c>
      <c r="C51" t="str">
        <f t="shared" si="1"/>
        <v>Department 5</v>
      </c>
      <c r="D51" s="48" t="str">
        <f>"Dept "&amp; $I51 &amp; " Cost to Migrate"</f>
        <v>Dept 5 Cost to Migrate</v>
      </c>
      <c r="E51" s="54">
        <f ca="1">OFFSET(CostAnchor,0,$I51)</f>
        <v>60000</v>
      </c>
      <c r="F51" s="48"/>
      <c r="G51" s="49" t="s">
        <v>253</v>
      </c>
      <c r="H51" s="56"/>
      <c r="I51">
        <v>5</v>
      </c>
    </row>
    <row r="52" spans="1:9">
      <c r="A52" t="s">
        <v>114</v>
      </c>
      <c r="B52" t="s">
        <v>249</v>
      </c>
      <c r="C52" t="str">
        <f t="shared" si="1"/>
        <v>Department 5</v>
      </c>
      <c r="D52" s="48" t="str">
        <f>"Dept "&amp; $I52 &amp; " Score / Cost Ratio"</f>
        <v>Dept 5 Score / Cost Ratio</v>
      </c>
      <c r="E52" s="79">
        <f ca="1">OFFSET(RatioAnchor,0,$I52)</f>
        <v>9.6333333333333329</v>
      </c>
      <c r="F52" s="48" t="s">
        <v>236</v>
      </c>
      <c r="G52" s="49" t="s">
        <v>253</v>
      </c>
      <c r="H52" s="56"/>
      <c r="I52">
        <v>5</v>
      </c>
    </row>
    <row r="53" spans="1:9">
      <c r="A53" t="s">
        <v>114</v>
      </c>
      <c r="B53" t="s">
        <v>249</v>
      </c>
      <c r="C53" t="str">
        <f t="shared" si="1"/>
        <v>Department 6</v>
      </c>
      <c r="D53" s="48" t="str">
        <f>"Dept "&amp; $I53 &amp; " Name"</f>
        <v>Dept 6 Name</v>
      </c>
      <c r="E53" s="48" t="str">
        <f ca="1">OFFSET(DepartmentNames,$I53,0)</f>
        <v>Warp Drive</v>
      </c>
      <c r="F53" s="48"/>
      <c r="G53" s="49" t="s">
        <v>285</v>
      </c>
      <c r="H53" s="56"/>
      <c r="I53">
        <v>6</v>
      </c>
    </row>
    <row r="54" spans="1:9">
      <c r="A54" t="s">
        <v>114</v>
      </c>
      <c r="B54" t="s">
        <v>249</v>
      </c>
      <c r="C54" t="str">
        <f t="shared" si="1"/>
        <v>Department 6</v>
      </c>
      <c r="D54" s="48" t="str">
        <f>"Dept "&amp; $I54 &amp; " Current Setup"</f>
        <v>Dept 6 Current Setup</v>
      </c>
      <c r="E54" s="48" t="str">
        <f ca="1">OFFSET(DepartmentSetup,$I54,0)</f>
        <v>Bare Metal Servers and Virtual Machines</v>
      </c>
      <c r="F54" s="48"/>
      <c r="G54" s="49" t="s">
        <v>169</v>
      </c>
      <c r="H54" s="56"/>
      <c r="I54">
        <v>6</v>
      </c>
    </row>
    <row r="55" spans="1:9">
      <c r="A55" t="s">
        <v>114</v>
      </c>
      <c r="B55" t="s">
        <v>249</v>
      </c>
      <c r="C55" t="str">
        <f t="shared" si="1"/>
        <v>Department 6</v>
      </c>
      <c r="D55" s="48" t="str">
        <f>"Dept "&amp; $I55 &amp; " Readiness Score"</f>
        <v>Dept 6 Readiness Score</v>
      </c>
      <c r="E55" s="79">
        <f ca="1">OFFSET(OverallAnchor,0,$I55)</f>
        <v>40</v>
      </c>
      <c r="F55" s="48"/>
      <c r="G55" s="49" t="s">
        <v>212</v>
      </c>
      <c r="H55" s="56"/>
      <c r="I55">
        <v>6</v>
      </c>
    </row>
    <row r="56" spans="1:9">
      <c r="A56" t="s">
        <v>114</v>
      </c>
      <c r="B56" t="s">
        <v>249</v>
      </c>
      <c r="C56" t="str">
        <f t="shared" si="1"/>
        <v>Department 6</v>
      </c>
      <c r="D56" s="48" t="str">
        <f>"Dept "&amp; $I56 &amp; " Cost to Migrate"</f>
        <v>Dept 6 Cost to Migrate</v>
      </c>
      <c r="E56" s="54">
        <f ca="1">OFFSET(CostAnchor,0,$I56)</f>
        <v>50000</v>
      </c>
      <c r="F56" s="48"/>
      <c r="G56" s="49" t="s">
        <v>253</v>
      </c>
      <c r="H56" s="56"/>
      <c r="I56">
        <v>6</v>
      </c>
    </row>
    <row r="57" spans="1:9">
      <c r="A57" t="s">
        <v>114</v>
      </c>
      <c r="B57" t="s">
        <v>249</v>
      </c>
      <c r="C57" t="str">
        <f t="shared" si="1"/>
        <v>Department 6</v>
      </c>
      <c r="D57" s="48" t="str">
        <f>"Dept "&amp; $I57 &amp; " Score / Cost Ratio"</f>
        <v>Dept 6 Score / Cost Ratio</v>
      </c>
      <c r="E57" s="79">
        <f ca="1">OFFSET(RatioAnchor,0,$I57)</f>
        <v>8</v>
      </c>
      <c r="F57" s="48" t="s">
        <v>236</v>
      </c>
      <c r="G57" s="49" t="s">
        <v>253</v>
      </c>
      <c r="H57" s="56"/>
      <c r="I57">
        <v>6</v>
      </c>
    </row>
    <row r="58" spans="1:9">
      <c r="A58" t="s">
        <v>114</v>
      </c>
      <c r="B58" t="s">
        <v>249</v>
      </c>
      <c r="C58" t="str">
        <f t="shared" si="1"/>
        <v>Department 7</v>
      </c>
      <c r="D58" s="48" t="str">
        <f>"Dept "&amp; $I58 &amp; " Name"</f>
        <v>Dept 7 Name</v>
      </c>
      <c r="E58" s="48" t="str">
        <f ca="1">OFFSET(DepartmentNames,$I58,0)</f>
        <v>Teleporters</v>
      </c>
      <c r="F58" s="48"/>
      <c r="G58" s="49"/>
      <c r="H58" s="56"/>
      <c r="I58">
        <v>7</v>
      </c>
    </row>
    <row r="59" spans="1:9">
      <c r="A59" t="s">
        <v>114</v>
      </c>
      <c r="B59" t="s">
        <v>249</v>
      </c>
      <c r="C59" t="str">
        <f t="shared" si="1"/>
        <v>Department 7</v>
      </c>
      <c r="D59" s="48" t="str">
        <f>"Dept "&amp; $I59 &amp; " Current Setup"</f>
        <v>Dept 7 Current Setup</v>
      </c>
      <c r="E59" s="48" t="str">
        <f ca="1">OFFSET(DepartmentSetup,$I59,0)</f>
        <v>Bare Metal Servers and Virtual Machines</v>
      </c>
      <c r="F59" s="48"/>
      <c r="G59" s="49" t="s">
        <v>169</v>
      </c>
      <c r="H59" s="56"/>
      <c r="I59">
        <v>7</v>
      </c>
    </row>
    <row r="60" spans="1:9">
      <c r="A60" t="s">
        <v>114</v>
      </c>
      <c r="B60" t="s">
        <v>249</v>
      </c>
      <c r="C60" t="str">
        <f t="shared" si="1"/>
        <v>Department 7</v>
      </c>
      <c r="D60" s="48" t="str">
        <f>"Dept "&amp; $I60 &amp; " Readiness Score"</f>
        <v>Dept 7 Readiness Score</v>
      </c>
      <c r="E60" s="79">
        <f ca="1">OFFSET(OverallAnchor,0,$I60)</f>
        <v>44.6</v>
      </c>
      <c r="F60" s="48"/>
      <c r="G60" s="49" t="s">
        <v>213</v>
      </c>
      <c r="H60" s="56"/>
      <c r="I60">
        <v>7</v>
      </c>
    </row>
    <row r="61" spans="1:9">
      <c r="A61" t="s">
        <v>114</v>
      </c>
      <c r="B61" t="s">
        <v>249</v>
      </c>
      <c r="C61" t="str">
        <f t="shared" si="1"/>
        <v>Department 7</v>
      </c>
      <c r="D61" s="48" t="str">
        <f>"Dept "&amp; $I61 &amp; " Cost to Migrate"</f>
        <v>Dept 7 Cost to Migrate</v>
      </c>
      <c r="E61" s="54">
        <f ca="1">OFFSET(CostAnchor,0,$I61)</f>
        <v>40000</v>
      </c>
      <c r="F61" s="48"/>
      <c r="G61" s="49" t="s">
        <v>253</v>
      </c>
      <c r="H61" s="56"/>
      <c r="I61">
        <v>7</v>
      </c>
    </row>
    <row r="62" spans="1:9">
      <c r="A62" t="s">
        <v>114</v>
      </c>
      <c r="B62" t="s">
        <v>249</v>
      </c>
      <c r="C62" t="str">
        <f t="shared" si="1"/>
        <v>Department 7</v>
      </c>
      <c r="D62" s="48" t="str">
        <f>"Dept "&amp; $I62 &amp; " Score / Cost Ratio"</f>
        <v>Dept 7 Score / Cost Ratio</v>
      </c>
      <c r="E62" s="79">
        <f ca="1">OFFSET(RatioAnchor,0,$I62)</f>
        <v>11.15</v>
      </c>
      <c r="F62" s="48" t="s">
        <v>236</v>
      </c>
      <c r="G62" s="49" t="s">
        <v>253</v>
      </c>
      <c r="H62" s="56"/>
      <c r="I62">
        <v>7</v>
      </c>
    </row>
    <row r="63" spans="1:9">
      <c r="A63" t="s">
        <v>114</v>
      </c>
      <c r="B63" t="s">
        <v>249</v>
      </c>
      <c r="C63" t="str">
        <f t="shared" si="1"/>
        <v>Department 8</v>
      </c>
      <c r="D63" s="48" t="str">
        <f>"Dept "&amp; $I63 &amp; " Name"</f>
        <v>Dept 8 Name</v>
      </c>
      <c r="E63" s="48" t="str">
        <f ca="1">OFFSET(DepartmentNames,$I63,0)</f>
        <v>Cargo Bay 1</v>
      </c>
      <c r="F63" s="48"/>
      <c r="G63" s="49"/>
      <c r="H63" s="56"/>
      <c r="I63">
        <v>8</v>
      </c>
    </row>
    <row r="64" spans="1:9">
      <c r="A64" t="s">
        <v>114</v>
      </c>
      <c r="B64" t="s">
        <v>249</v>
      </c>
      <c r="C64" t="str">
        <f t="shared" si="1"/>
        <v>Department 8</v>
      </c>
      <c r="D64" s="48" t="str">
        <f>"Dept "&amp; $I64 &amp; " Current Setup"</f>
        <v>Dept 8 Current Setup</v>
      </c>
      <c r="E64" s="48" t="str">
        <f ca="1">OFFSET(DepartmentSetup,$I64,0)</f>
        <v>Bare Metal Servers and Virtual Machines</v>
      </c>
      <c r="F64" s="48"/>
      <c r="G64" s="49" t="s">
        <v>169</v>
      </c>
      <c r="H64" s="56"/>
      <c r="I64">
        <v>8</v>
      </c>
    </row>
    <row r="65" spans="1:9">
      <c r="A65" t="s">
        <v>114</v>
      </c>
      <c r="B65" t="s">
        <v>249</v>
      </c>
      <c r="C65" t="str">
        <f t="shared" si="1"/>
        <v>Department 8</v>
      </c>
      <c r="D65" s="48" t="str">
        <f>"Dept "&amp; $I65 &amp; " Readiness Score"</f>
        <v>Dept 8 Readiness Score</v>
      </c>
      <c r="E65" s="79">
        <f ca="1">OFFSET(OverallAnchor,0,$I65)</f>
        <v>51.666666666666664</v>
      </c>
      <c r="F65" s="48"/>
      <c r="G65" s="49" t="s">
        <v>214</v>
      </c>
      <c r="H65" s="56"/>
      <c r="I65">
        <v>8</v>
      </c>
    </row>
    <row r="66" spans="1:9">
      <c r="A66" t="s">
        <v>114</v>
      </c>
      <c r="B66" t="s">
        <v>249</v>
      </c>
      <c r="C66" t="str">
        <f t="shared" si="1"/>
        <v>Department 8</v>
      </c>
      <c r="D66" s="48" t="str">
        <f>"Dept "&amp; $I66 &amp; " Cost to Migrate"</f>
        <v>Dept 8 Cost to Migrate</v>
      </c>
      <c r="E66" s="54">
        <f ca="1">OFFSET(CostAnchor,0,$I66)</f>
        <v>30000</v>
      </c>
      <c r="F66" s="48"/>
      <c r="G66" s="49" t="s">
        <v>253</v>
      </c>
      <c r="H66" s="56"/>
      <c r="I66">
        <v>8</v>
      </c>
    </row>
    <row r="67" spans="1:9">
      <c r="A67" t="s">
        <v>114</v>
      </c>
      <c r="B67" t="s">
        <v>249</v>
      </c>
      <c r="C67" t="str">
        <f t="shared" si="1"/>
        <v>Department 8</v>
      </c>
      <c r="D67" s="48" t="str">
        <f>"Dept "&amp; $I67 &amp; " Score / Cost Ratio"</f>
        <v>Dept 8 Score / Cost Ratio</v>
      </c>
      <c r="E67" s="79">
        <f ca="1">OFFSET(RatioAnchor,0,$I67)</f>
        <v>17.222222222222221</v>
      </c>
      <c r="F67" s="48" t="s">
        <v>236</v>
      </c>
      <c r="G67" s="49" t="s">
        <v>253</v>
      </c>
      <c r="H67" s="56"/>
      <c r="I67">
        <v>8</v>
      </c>
    </row>
    <row r="68" spans="1:9">
      <c r="A68" t="s">
        <v>114</v>
      </c>
      <c r="B68" t="s">
        <v>249</v>
      </c>
      <c r="C68" t="str">
        <f t="shared" si="1"/>
        <v>Department 9</v>
      </c>
      <c r="D68" s="48" t="str">
        <f>"Dept "&amp; $I68 &amp; " Name"</f>
        <v>Dept 9 Name</v>
      </c>
      <c r="E68" s="48" t="str">
        <f ca="1">OFFSET(DepartmentNames,$I68,0)</f>
        <v>Cargo Bay 2</v>
      </c>
      <c r="F68" s="48"/>
      <c r="G68" s="49"/>
      <c r="H68" s="56"/>
      <c r="I68">
        <v>9</v>
      </c>
    </row>
    <row r="69" spans="1:9">
      <c r="A69" t="s">
        <v>114</v>
      </c>
      <c r="B69" t="s">
        <v>249</v>
      </c>
      <c r="C69" t="str">
        <f t="shared" si="1"/>
        <v>Department 9</v>
      </c>
      <c r="D69" s="48" t="str">
        <f>"Dept "&amp; $I69 &amp; " Current Setup"</f>
        <v>Dept 9 Current Setup</v>
      </c>
      <c r="E69" s="48" t="str">
        <f ca="1">OFFSET(DepartmentSetup,$I69,0)</f>
        <v>Bare Metal Servers and Virtual Machines</v>
      </c>
      <c r="F69" s="48"/>
      <c r="G69" s="49" t="s">
        <v>169</v>
      </c>
      <c r="H69" s="56"/>
      <c r="I69">
        <v>9</v>
      </c>
    </row>
    <row r="70" spans="1:9">
      <c r="A70" t="s">
        <v>114</v>
      </c>
      <c r="B70" t="s">
        <v>249</v>
      </c>
      <c r="C70" t="str">
        <f t="shared" si="1"/>
        <v>Department 9</v>
      </c>
      <c r="D70" s="48" t="str">
        <f>"Dept "&amp; $I70 &amp; " Readiness Score"</f>
        <v>Dept 9 Readiness Score</v>
      </c>
      <c r="E70" s="79">
        <f ca="1">OFFSET(OverallAnchor,0,$I70)</f>
        <v>44</v>
      </c>
      <c r="F70" s="48"/>
      <c r="G70" s="49" t="s">
        <v>215</v>
      </c>
      <c r="H70" s="56"/>
      <c r="I70">
        <v>9</v>
      </c>
    </row>
    <row r="71" spans="1:9">
      <c r="A71" t="s">
        <v>114</v>
      </c>
      <c r="B71" t="s">
        <v>249</v>
      </c>
      <c r="C71" t="str">
        <f t="shared" si="1"/>
        <v>Department 9</v>
      </c>
      <c r="D71" s="48" t="str">
        <f>"Dept "&amp; $I71 &amp; " Cost to Migrate"</f>
        <v>Dept 9 Cost to Migrate</v>
      </c>
      <c r="E71" s="54">
        <f ca="1">OFFSET(CostAnchor,0,$I71)</f>
        <v>20000</v>
      </c>
      <c r="F71" s="48"/>
      <c r="G71" s="49" t="s">
        <v>253</v>
      </c>
      <c r="H71" s="56"/>
      <c r="I71">
        <v>9</v>
      </c>
    </row>
    <row r="72" spans="1:9">
      <c r="A72" t="s">
        <v>114</v>
      </c>
      <c r="B72" t="s">
        <v>249</v>
      </c>
      <c r="C72" t="str">
        <f t="shared" si="1"/>
        <v>Department 9</v>
      </c>
      <c r="D72" s="48" t="str">
        <f>"Dept "&amp; $I72 &amp; " Score / Cost Ratio"</f>
        <v>Dept 9 Score / Cost Ratio</v>
      </c>
      <c r="E72" s="79">
        <f ca="1">OFFSET(RatioAnchor,0,$I72)</f>
        <v>22</v>
      </c>
      <c r="F72" s="48"/>
      <c r="G72" s="49" t="s">
        <v>253</v>
      </c>
      <c r="H72" s="56"/>
      <c r="I72">
        <v>9</v>
      </c>
    </row>
    <row r="73" spans="1:9">
      <c r="A73" t="s">
        <v>114</v>
      </c>
      <c r="B73" t="s">
        <v>249</v>
      </c>
      <c r="C73" t="str">
        <f t="shared" si="1"/>
        <v>Department 10</v>
      </c>
      <c r="D73" s="48" t="str">
        <f>"Dept "&amp; $I73 &amp; " Name"</f>
        <v>Dept 10 Name</v>
      </c>
      <c r="E73" s="48" t="str">
        <f ca="1">OFFSET(DepartmentNames,$I73,0)</f>
        <v>Emergency Power</v>
      </c>
      <c r="F73" s="48"/>
      <c r="G73" s="49"/>
      <c r="H73" s="56"/>
      <c r="I73">
        <v>10</v>
      </c>
    </row>
    <row r="74" spans="1:9">
      <c r="A74" t="s">
        <v>114</v>
      </c>
      <c r="B74" t="s">
        <v>249</v>
      </c>
      <c r="C74" t="str">
        <f t="shared" si="1"/>
        <v>Department 10</v>
      </c>
      <c r="D74" s="48" t="str">
        <f>"Dept "&amp; $I74 &amp; " Current Setup"</f>
        <v>Dept 10 Current Setup</v>
      </c>
      <c r="E74" s="48" t="str">
        <f ca="1">OFFSET(DepartmentSetup,$I74,0)</f>
        <v>Bare Metal Servers and Virtual Machines</v>
      </c>
      <c r="F74" s="48"/>
      <c r="G74" s="49" t="s">
        <v>169</v>
      </c>
      <c r="H74" s="56"/>
      <c r="I74">
        <v>10</v>
      </c>
    </row>
    <row r="75" spans="1:9">
      <c r="A75" t="s">
        <v>114</v>
      </c>
      <c r="B75" t="s">
        <v>249</v>
      </c>
      <c r="C75" t="str">
        <f t="shared" si="1"/>
        <v>Department 10</v>
      </c>
      <c r="D75" s="48" t="str">
        <f>"Dept "&amp; $I75 &amp; " Readiness Score"</f>
        <v>Dept 10 Readiness Score</v>
      </c>
      <c r="E75" s="79">
        <f ca="1">OFFSET(OverallAnchor,0,$I75)</f>
        <v>38.733333333333334</v>
      </c>
      <c r="F75" s="48"/>
      <c r="G75" s="49" t="s">
        <v>216</v>
      </c>
      <c r="H75" s="56"/>
      <c r="I75">
        <v>10</v>
      </c>
    </row>
    <row r="76" spans="1:9">
      <c r="A76" t="s">
        <v>114</v>
      </c>
      <c r="B76" t="s">
        <v>249</v>
      </c>
      <c r="C76" t="str">
        <f t="shared" si="1"/>
        <v>Department 10</v>
      </c>
      <c r="D76" s="48" t="str">
        <f>"Dept "&amp; $I76 &amp; " Cost to Migrate"</f>
        <v>Dept 10 Cost to Migrate</v>
      </c>
      <c r="E76" s="54">
        <f ca="1">OFFSET(CostAnchor,0,$I76)</f>
        <v>10000</v>
      </c>
      <c r="F76" s="48"/>
      <c r="G76" s="49" t="s">
        <v>253</v>
      </c>
      <c r="H76" s="56"/>
      <c r="I76">
        <v>10</v>
      </c>
    </row>
    <row r="77" spans="1:9">
      <c r="A77" t="s">
        <v>114</v>
      </c>
      <c r="B77" t="s">
        <v>249</v>
      </c>
      <c r="C77" t="str">
        <f t="shared" si="1"/>
        <v>Department 10</v>
      </c>
      <c r="D77" s="48" t="str">
        <f>"Dept "&amp; $I77 &amp; " Score / Cost Ratio"</f>
        <v>Dept 10 Score / Cost Ratio</v>
      </c>
      <c r="E77" s="79">
        <f ca="1">OFFSET(RatioAnchor,0,$I77)</f>
        <v>38.733333333333334</v>
      </c>
      <c r="F77" s="48"/>
      <c r="G77" s="49" t="s">
        <v>253</v>
      </c>
      <c r="H77" s="56"/>
      <c r="I77">
        <v>10</v>
      </c>
    </row>
    <row r="78" spans="1:9">
      <c r="A78" t="s">
        <v>200</v>
      </c>
      <c r="B78" s="46" t="s">
        <v>237</v>
      </c>
      <c r="C78" s="46" t="s">
        <v>237</v>
      </c>
      <c r="D78" t="s">
        <v>238</v>
      </c>
      <c r="E78" s="80">
        <v>10</v>
      </c>
      <c r="G78" s="49"/>
      <c r="H78" s="56"/>
      <c r="I78" s="81">
        <f>$E$78</f>
        <v>10</v>
      </c>
    </row>
    <row r="79" spans="1:9">
      <c r="A79" t="s">
        <v>200</v>
      </c>
      <c r="B79" s="46" t="s">
        <v>237</v>
      </c>
      <c r="C79" s="46" t="s">
        <v>237</v>
      </c>
      <c r="D79" t="s">
        <v>239</v>
      </c>
      <c r="E79" s="48" t="str">
        <f ca="1">OFFSET(DepartmentNames,$I79,0)</f>
        <v>Emergency Power</v>
      </c>
      <c r="G79" s="49"/>
      <c r="H79" s="56"/>
      <c r="I79" s="81">
        <f t="shared" ref="I79:I84" si="2">$E$78</f>
        <v>10</v>
      </c>
    </row>
    <row r="80" spans="1:9">
      <c r="A80" t="s">
        <v>200</v>
      </c>
      <c r="B80" s="46" t="s">
        <v>237</v>
      </c>
      <c r="C80" s="46" t="s">
        <v>237</v>
      </c>
      <c r="D80" t="s">
        <v>240</v>
      </c>
      <c r="E80" s="82" t="s">
        <v>241</v>
      </c>
      <c r="F80" t="s">
        <v>261</v>
      </c>
      <c r="G80" s="49"/>
      <c r="H80" s="56"/>
      <c r="I80" s="81">
        <f t="shared" si="2"/>
        <v>10</v>
      </c>
    </row>
    <row r="81" spans="1:9">
      <c r="A81" t="s">
        <v>200</v>
      </c>
      <c r="B81" s="46" t="s">
        <v>237</v>
      </c>
      <c r="C81" s="46" t="s">
        <v>237</v>
      </c>
      <c r="D81" s="48" t="str">
        <f>"Dept "&amp; $I81 &amp; " Current Setup"</f>
        <v>Dept 10 Current Setup</v>
      </c>
      <c r="E81" s="48" t="str">
        <f ca="1">OFFSET(DepartmentSetup,$I80,0)</f>
        <v>Bare Metal Servers and Virtual Machines</v>
      </c>
      <c r="G81" s="49" t="s">
        <v>169</v>
      </c>
      <c r="H81" s="56"/>
      <c r="I81" s="81">
        <f t="shared" si="2"/>
        <v>10</v>
      </c>
    </row>
    <row r="82" spans="1:9">
      <c r="A82" t="s">
        <v>200</v>
      </c>
      <c r="B82" s="46" t="s">
        <v>237</v>
      </c>
      <c r="C82" s="46" t="s">
        <v>237</v>
      </c>
      <c r="D82" s="48" t="str">
        <f>"Dept "&amp; $I82 &amp; " Readiness Score"</f>
        <v>Dept 10 Readiness Score</v>
      </c>
      <c r="E82" s="79">
        <f ca="1">OFFSET(OverallAnchor,0,$I81)</f>
        <v>38.733333333333334</v>
      </c>
      <c r="G82" t="s">
        <v>260</v>
      </c>
      <c r="H82" s="56"/>
      <c r="I82" s="81">
        <f t="shared" si="2"/>
        <v>10</v>
      </c>
    </row>
    <row r="83" spans="1:9">
      <c r="A83" t="s">
        <v>200</v>
      </c>
      <c r="B83" s="46" t="s">
        <v>237</v>
      </c>
      <c r="C83" s="46" t="s">
        <v>237</v>
      </c>
      <c r="D83" s="48" t="str">
        <f>"Dept "&amp; $I83 &amp; " Cost to Migrate"</f>
        <v>Dept 10 Cost to Migrate</v>
      </c>
      <c r="E83" s="54">
        <f ca="1">OFFSET(CostAnchor,0,$I82)</f>
        <v>10000</v>
      </c>
      <c r="G83" s="49" t="s">
        <v>253</v>
      </c>
      <c r="H83" s="56"/>
      <c r="I83" s="81">
        <f t="shared" si="2"/>
        <v>10</v>
      </c>
    </row>
    <row r="84" spans="1:9">
      <c r="A84" t="s">
        <v>200</v>
      </c>
      <c r="B84" s="46" t="s">
        <v>237</v>
      </c>
      <c r="C84" s="46" t="s">
        <v>237</v>
      </c>
      <c r="D84" s="48" t="str">
        <f>"Dept "&amp; $I84 &amp; " Score / Cost Ratio"</f>
        <v>Dept 10 Score / Cost Ratio</v>
      </c>
      <c r="E84" s="79">
        <f ca="1">OFFSET(RatioAnchor,0,$I83)</f>
        <v>38.733333333333334</v>
      </c>
      <c r="G84" s="49" t="s">
        <v>253</v>
      </c>
      <c r="H84" s="56"/>
      <c r="I84" s="81">
        <f t="shared" si="2"/>
        <v>10</v>
      </c>
    </row>
    <row r="85" spans="1:9">
      <c r="A85" t="s">
        <v>200</v>
      </c>
      <c r="B85" t="s">
        <v>202</v>
      </c>
      <c r="C85" s="46" t="s">
        <v>201</v>
      </c>
      <c r="D85" s="48" t="s">
        <v>204</v>
      </c>
      <c r="E85" s="46" t="s">
        <v>122</v>
      </c>
      <c r="F85" s="46"/>
      <c r="G85" s="49" t="s">
        <v>280</v>
      </c>
      <c r="H85" s="56"/>
    </row>
    <row r="86" spans="1:9">
      <c r="A86" t="s">
        <v>200</v>
      </c>
      <c r="B86" t="s">
        <v>202</v>
      </c>
      <c r="C86" s="46" t="s">
        <v>201</v>
      </c>
      <c r="D86" s="48" t="s">
        <v>203</v>
      </c>
      <c r="E86" s="46" t="s">
        <v>122</v>
      </c>
      <c r="F86" s="46"/>
      <c r="G86" s="49" t="s">
        <v>169</v>
      </c>
      <c r="H86" s="56"/>
    </row>
    <row r="87" spans="1:9">
      <c r="A87" t="s">
        <v>200</v>
      </c>
      <c r="B87" s="45" t="s">
        <v>104</v>
      </c>
      <c r="C87" s="46" t="s">
        <v>120</v>
      </c>
      <c r="D87" s="48" t="s">
        <v>292</v>
      </c>
      <c r="E87" s="74">
        <v>23850</v>
      </c>
      <c r="F87" s="46"/>
      <c r="G87" s="49" t="s">
        <v>172</v>
      </c>
      <c r="H87" s="56"/>
    </row>
    <row r="88" spans="1:9">
      <c r="A88" t="s">
        <v>200</v>
      </c>
      <c r="B88" s="45" t="s">
        <v>104</v>
      </c>
      <c r="C88" s="46" t="s">
        <v>120</v>
      </c>
      <c r="D88" s="48" t="s">
        <v>293</v>
      </c>
      <c r="E88" s="46">
        <v>9</v>
      </c>
      <c r="F88" s="46"/>
      <c r="G88" s="57" t="s">
        <v>172</v>
      </c>
      <c r="H88" s="56"/>
    </row>
    <row r="89" spans="1:9">
      <c r="A89" t="s">
        <v>200</v>
      </c>
      <c r="B89" s="45" t="s">
        <v>104</v>
      </c>
      <c r="C89" s="46" t="s">
        <v>121</v>
      </c>
      <c r="D89" s="48" t="s">
        <v>295</v>
      </c>
      <c r="E89" s="75">
        <v>26968</v>
      </c>
      <c r="G89" s="49" t="s">
        <v>174</v>
      </c>
      <c r="H89" s="56"/>
    </row>
    <row r="90" spans="1:9">
      <c r="A90" t="s">
        <v>200</v>
      </c>
      <c r="B90" s="45" t="s">
        <v>104</v>
      </c>
      <c r="C90" s="46" t="s">
        <v>121</v>
      </c>
      <c r="D90" s="48" t="s">
        <v>294</v>
      </c>
      <c r="E90" s="60">
        <v>4</v>
      </c>
      <c r="F90" s="46"/>
      <c r="G90" s="49" t="s">
        <v>174</v>
      </c>
      <c r="H90" s="56"/>
    </row>
    <row r="91" spans="1:9">
      <c r="A91" t="s">
        <v>78</v>
      </c>
      <c r="B91" s="46" t="s">
        <v>79</v>
      </c>
      <c r="C91" s="46" t="s">
        <v>86</v>
      </c>
      <c r="D91" s="48" t="s">
        <v>153</v>
      </c>
      <c r="E91" s="58">
        <v>55</v>
      </c>
      <c r="F91" s="58"/>
      <c r="G91" s="49"/>
      <c r="H91" s="56"/>
    </row>
    <row r="92" spans="1:9">
      <c r="A92" t="s">
        <v>78</v>
      </c>
      <c r="B92" s="46" t="s">
        <v>79</v>
      </c>
      <c r="C92" s="46" t="s">
        <v>86</v>
      </c>
      <c r="D92" s="48" t="s">
        <v>152</v>
      </c>
      <c r="E92" s="58" t="s">
        <v>186</v>
      </c>
      <c r="F92" s="58" t="s">
        <v>187</v>
      </c>
      <c r="G92" s="49"/>
      <c r="H92" s="56"/>
    </row>
    <row r="93" spans="1:9">
      <c r="A93" t="s">
        <v>78</v>
      </c>
      <c r="B93" s="46" t="s">
        <v>79</v>
      </c>
      <c r="C93" s="46" t="s">
        <v>87</v>
      </c>
      <c r="D93" s="48" t="s">
        <v>153</v>
      </c>
      <c r="E93" s="58">
        <v>55</v>
      </c>
      <c r="F93" s="58"/>
      <c r="G93" s="49"/>
      <c r="H93" s="56"/>
    </row>
    <row r="94" spans="1:9">
      <c r="A94" t="s">
        <v>78</v>
      </c>
      <c r="B94" s="46" t="s">
        <v>79</v>
      </c>
      <c r="C94" s="46" t="s">
        <v>87</v>
      </c>
      <c r="D94" s="48" t="s">
        <v>152</v>
      </c>
      <c r="E94" s="59" t="s">
        <v>154</v>
      </c>
      <c r="F94" s="58"/>
      <c r="G94" s="49"/>
      <c r="H94" s="56"/>
    </row>
    <row r="95" spans="1:9">
      <c r="A95" t="s">
        <v>78</v>
      </c>
      <c r="B95" s="46" t="s">
        <v>79</v>
      </c>
      <c r="C95" s="46" t="s">
        <v>88</v>
      </c>
      <c r="D95" s="48" t="s">
        <v>153</v>
      </c>
      <c r="E95" s="58">
        <v>55</v>
      </c>
      <c r="F95" s="58"/>
      <c r="G95" s="49"/>
      <c r="H95" s="56"/>
    </row>
    <row r="96" spans="1:9">
      <c r="A96" t="s">
        <v>78</v>
      </c>
      <c r="B96" s="46" t="s">
        <v>79</v>
      </c>
      <c r="C96" s="46" t="s">
        <v>88</v>
      </c>
      <c r="D96" s="48" t="s">
        <v>152</v>
      </c>
      <c r="E96" s="59" t="s">
        <v>154</v>
      </c>
      <c r="F96" s="46"/>
      <c r="G96" s="49"/>
      <c r="H96" s="56"/>
    </row>
    <row r="97" spans="1:8">
      <c r="A97" t="s">
        <v>78</v>
      </c>
      <c r="B97" s="46" t="s">
        <v>80</v>
      </c>
      <c r="C97" s="46" t="s">
        <v>89</v>
      </c>
      <c r="D97" s="48" t="s">
        <v>153</v>
      </c>
      <c r="E97" s="58">
        <v>55</v>
      </c>
      <c r="F97" s="46"/>
      <c r="G97" s="49"/>
      <c r="H97" s="56"/>
    </row>
    <row r="98" spans="1:8">
      <c r="A98" t="s">
        <v>78</v>
      </c>
      <c r="B98" s="46" t="s">
        <v>80</v>
      </c>
      <c r="C98" s="46" t="s">
        <v>89</v>
      </c>
      <c r="D98" s="48" t="s">
        <v>152</v>
      </c>
      <c r="E98" s="59" t="s">
        <v>154</v>
      </c>
      <c r="F98" s="46"/>
      <c r="G98" s="49"/>
      <c r="H98" s="56"/>
    </row>
    <row r="99" spans="1:8">
      <c r="A99" t="s">
        <v>78</v>
      </c>
      <c r="B99" s="46" t="s">
        <v>80</v>
      </c>
      <c r="C99" s="46" t="s">
        <v>90</v>
      </c>
      <c r="D99" s="48" t="s">
        <v>153</v>
      </c>
      <c r="E99" s="58">
        <v>55</v>
      </c>
      <c r="F99" s="46"/>
      <c r="G99" s="49"/>
      <c r="H99" s="56"/>
    </row>
    <row r="100" spans="1:8">
      <c r="A100" t="s">
        <v>78</v>
      </c>
      <c r="B100" s="46" t="s">
        <v>80</v>
      </c>
      <c r="C100" s="46" t="s">
        <v>90</v>
      </c>
      <c r="D100" s="48" t="s">
        <v>152</v>
      </c>
      <c r="E100" s="59" t="s">
        <v>154</v>
      </c>
      <c r="F100" s="48"/>
      <c r="G100" s="49"/>
      <c r="H100" s="56"/>
    </row>
    <row r="101" spans="1:8">
      <c r="A101" t="s">
        <v>78</v>
      </c>
      <c r="B101" s="46" t="s">
        <v>80</v>
      </c>
      <c r="C101" s="48" t="s">
        <v>91</v>
      </c>
      <c r="D101" s="48" t="s">
        <v>153</v>
      </c>
      <c r="E101" s="58">
        <v>55</v>
      </c>
      <c r="F101" s="48"/>
      <c r="G101" s="49"/>
      <c r="H101" s="56"/>
    </row>
    <row r="102" spans="1:8">
      <c r="A102" t="s">
        <v>78</v>
      </c>
      <c r="B102" s="46" t="s">
        <v>80</v>
      </c>
      <c r="C102" s="48" t="s">
        <v>91</v>
      </c>
      <c r="D102" s="48" t="s">
        <v>152</v>
      </c>
      <c r="E102" s="59" t="s">
        <v>154</v>
      </c>
      <c r="F102" s="48"/>
      <c r="G102" s="49"/>
      <c r="H102" s="56"/>
    </row>
    <row r="103" spans="1:8">
      <c r="A103" t="s">
        <v>78</v>
      </c>
      <c r="B103" s="46" t="s">
        <v>81</v>
      </c>
      <c r="C103" s="46" t="s">
        <v>92</v>
      </c>
      <c r="D103" s="48" t="s">
        <v>153</v>
      </c>
      <c r="E103" s="58">
        <v>55</v>
      </c>
      <c r="F103" s="48"/>
      <c r="G103" s="49"/>
      <c r="H103" s="56"/>
    </row>
    <row r="104" spans="1:8">
      <c r="A104" t="s">
        <v>78</v>
      </c>
      <c r="B104" s="46" t="s">
        <v>81</v>
      </c>
      <c r="C104" s="46" t="s">
        <v>92</v>
      </c>
      <c r="D104" s="48" t="s">
        <v>152</v>
      </c>
      <c r="E104" s="59" t="s">
        <v>154</v>
      </c>
      <c r="F104" s="48"/>
      <c r="G104" s="49"/>
      <c r="H104" s="56"/>
    </row>
    <row r="105" spans="1:8">
      <c r="A105" t="s">
        <v>78</v>
      </c>
      <c r="B105" s="46" t="s">
        <v>81</v>
      </c>
      <c r="C105" s="46" t="s">
        <v>93</v>
      </c>
      <c r="D105" s="48" t="s">
        <v>153</v>
      </c>
      <c r="E105" s="58">
        <v>55</v>
      </c>
      <c r="F105" s="48"/>
      <c r="G105" s="49"/>
      <c r="H105" s="56"/>
    </row>
    <row r="106" spans="1:8">
      <c r="A106" t="s">
        <v>78</v>
      </c>
      <c r="B106" s="46" t="s">
        <v>81</v>
      </c>
      <c r="C106" s="46" t="s">
        <v>93</v>
      </c>
      <c r="D106" s="48" t="s">
        <v>152</v>
      </c>
      <c r="E106" s="59" t="s">
        <v>154</v>
      </c>
      <c r="F106" s="48"/>
      <c r="G106" s="49"/>
      <c r="H106" s="56"/>
    </row>
    <row r="107" spans="1:8">
      <c r="A107" t="s">
        <v>78</v>
      </c>
      <c r="B107" s="46" t="s">
        <v>81</v>
      </c>
      <c r="C107" s="46" t="s">
        <v>94</v>
      </c>
      <c r="D107" s="48" t="s">
        <v>153</v>
      </c>
      <c r="E107" s="58">
        <v>55</v>
      </c>
      <c r="F107" s="48"/>
      <c r="G107" s="49"/>
      <c r="H107" s="56"/>
    </row>
    <row r="108" spans="1:8">
      <c r="A108" t="s">
        <v>78</v>
      </c>
      <c r="B108" s="46" t="s">
        <v>81</v>
      </c>
      <c r="C108" s="46" t="s">
        <v>94</v>
      </c>
      <c r="D108" s="48" t="s">
        <v>152</v>
      </c>
      <c r="E108" s="59" t="s">
        <v>154</v>
      </c>
      <c r="F108" s="48"/>
      <c r="G108" s="49"/>
      <c r="H108" s="56"/>
    </row>
    <row r="109" spans="1:8">
      <c r="A109" t="s">
        <v>78</v>
      </c>
      <c r="B109" s="46" t="s">
        <v>82</v>
      </c>
      <c r="C109" s="46" t="s">
        <v>95</v>
      </c>
      <c r="D109" s="48" t="s">
        <v>153</v>
      </c>
      <c r="E109" s="58">
        <v>55</v>
      </c>
      <c r="F109" s="48"/>
      <c r="G109" s="49"/>
      <c r="H109" s="56"/>
    </row>
    <row r="110" spans="1:8">
      <c r="A110" t="s">
        <v>78</v>
      </c>
      <c r="B110" s="46" t="s">
        <v>82</v>
      </c>
      <c r="C110" s="46" t="s">
        <v>95</v>
      </c>
      <c r="D110" s="48" t="s">
        <v>152</v>
      </c>
      <c r="E110" s="59" t="s">
        <v>154</v>
      </c>
      <c r="F110" s="46"/>
      <c r="G110" s="49"/>
      <c r="H110" s="56"/>
    </row>
    <row r="111" spans="1:8">
      <c r="A111" t="s">
        <v>78</v>
      </c>
      <c r="B111" s="46" t="s">
        <v>82</v>
      </c>
      <c r="C111" s="46" t="s">
        <v>96</v>
      </c>
      <c r="D111" s="48" t="s">
        <v>153</v>
      </c>
      <c r="E111" s="58">
        <v>55</v>
      </c>
      <c r="F111" s="48"/>
      <c r="G111" s="49"/>
      <c r="H111" s="46"/>
    </row>
    <row r="112" spans="1:8">
      <c r="A112" t="s">
        <v>78</v>
      </c>
      <c r="B112" s="46" t="s">
        <v>82</v>
      </c>
      <c r="C112" s="46" t="s">
        <v>96</v>
      </c>
      <c r="D112" s="48" t="s">
        <v>152</v>
      </c>
      <c r="E112" s="59" t="s">
        <v>154</v>
      </c>
      <c r="F112" s="55"/>
      <c r="G112" s="49"/>
      <c r="H112" s="46"/>
    </row>
    <row r="113" spans="1:8">
      <c r="A113" t="s">
        <v>78</v>
      </c>
      <c r="B113" s="46" t="s">
        <v>82</v>
      </c>
      <c r="C113" s="46" t="s">
        <v>97</v>
      </c>
      <c r="D113" s="48" t="s">
        <v>153</v>
      </c>
      <c r="E113" s="58">
        <v>55</v>
      </c>
      <c r="F113" s="46"/>
      <c r="G113" s="49"/>
      <c r="H113" s="46"/>
    </row>
    <row r="114" spans="1:8">
      <c r="A114" t="s">
        <v>78</v>
      </c>
      <c r="B114" s="46" t="s">
        <v>82</v>
      </c>
      <c r="C114" s="46" t="s">
        <v>97</v>
      </c>
      <c r="D114" s="48" t="s">
        <v>152</v>
      </c>
      <c r="E114" s="59" t="s">
        <v>154</v>
      </c>
      <c r="F114" s="46"/>
      <c r="G114" s="49"/>
      <c r="H114" s="46"/>
    </row>
    <row r="115" spans="1:8">
      <c r="A115" t="s">
        <v>78</v>
      </c>
      <c r="B115" s="46" t="s">
        <v>115</v>
      </c>
      <c r="C115" s="46" t="s">
        <v>98</v>
      </c>
      <c r="D115" s="48" t="s">
        <v>153</v>
      </c>
      <c r="E115" s="58">
        <v>55</v>
      </c>
      <c r="F115" s="48"/>
      <c r="G115" s="49"/>
      <c r="H115" s="48"/>
    </row>
    <row r="116" spans="1:8">
      <c r="A116" t="s">
        <v>78</v>
      </c>
      <c r="B116" s="46" t="s">
        <v>115</v>
      </c>
      <c r="C116" s="46" t="s">
        <v>98</v>
      </c>
      <c r="D116" s="48" t="s">
        <v>152</v>
      </c>
      <c r="E116" s="59" t="s">
        <v>154</v>
      </c>
      <c r="F116" s="46"/>
      <c r="G116" s="49"/>
      <c r="H116" s="46"/>
    </row>
    <row r="117" spans="1:8">
      <c r="A117" t="s">
        <v>78</v>
      </c>
      <c r="B117" s="46" t="s">
        <v>115</v>
      </c>
      <c r="C117" s="46" t="s">
        <v>99</v>
      </c>
      <c r="D117" s="48" t="s">
        <v>153</v>
      </c>
      <c r="E117" s="58">
        <v>55</v>
      </c>
      <c r="F117" s="46"/>
      <c r="G117" s="49"/>
      <c r="H117" s="46"/>
    </row>
    <row r="118" spans="1:8">
      <c r="A118" t="s">
        <v>78</v>
      </c>
      <c r="B118" s="46" t="s">
        <v>115</v>
      </c>
      <c r="C118" s="46" t="s">
        <v>99</v>
      </c>
      <c r="D118" s="48" t="s">
        <v>152</v>
      </c>
      <c r="E118" s="59" t="s">
        <v>154</v>
      </c>
      <c r="F118" s="46"/>
      <c r="G118" s="49"/>
      <c r="H118" s="46"/>
    </row>
    <row r="119" spans="1:8">
      <c r="A119" t="s">
        <v>78</v>
      </c>
      <c r="B119" s="46" t="s">
        <v>115</v>
      </c>
      <c r="C119" s="46" t="s">
        <v>100</v>
      </c>
      <c r="D119" s="48" t="s">
        <v>153</v>
      </c>
      <c r="E119" s="58">
        <v>55</v>
      </c>
      <c r="F119" s="46"/>
      <c r="G119" s="49"/>
      <c r="H119" s="46"/>
    </row>
    <row r="120" spans="1:8">
      <c r="A120" t="s">
        <v>78</v>
      </c>
      <c r="B120" s="46" t="s">
        <v>115</v>
      </c>
      <c r="C120" s="46" t="s">
        <v>100</v>
      </c>
      <c r="D120" s="48" t="s">
        <v>152</v>
      </c>
      <c r="E120" s="59" t="s">
        <v>154</v>
      </c>
      <c r="F120" s="46"/>
      <c r="G120" s="49"/>
      <c r="H120" s="46"/>
    </row>
    <row r="121" spans="1:8">
      <c r="A121" t="s">
        <v>188</v>
      </c>
      <c r="B121" s="46" t="s">
        <v>120</v>
      </c>
      <c r="C121" s="46" t="s">
        <v>75</v>
      </c>
      <c r="D121" s="48" t="s">
        <v>190</v>
      </c>
      <c r="E121" s="59" t="s">
        <v>193</v>
      </c>
      <c r="F121" s="46"/>
      <c r="G121" s="49" t="s">
        <v>189</v>
      </c>
      <c r="H121" s="46"/>
    </row>
    <row r="122" spans="1:8">
      <c r="A122" t="s">
        <v>188</v>
      </c>
      <c r="B122" s="46" t="s">
        <v>120</v>
      </c>
      <c r="C122" s="46" t="s">
        <v>75</v>
      </c>
      <c r="D122" s="48" t="s">
        <v>28</v>
      </c>
      <c r="E122" s="59" t="s">
        <v>266</v>
      </c>
      <c r="F122" s="46"/>
      <c r="G122" s="49" t="s">
        <v>265</v>
      </c>
      <c r="H122" s="46"/>
    </row>
    <row r="123" spans="1:8">
      <c r="A123" t="s">
        <v>188</v>
      </c>
      <c r="B123" s="46" t="s">
        <v>120</v>
      </c>
      <c r="C123" s="46" t="s">
        <v>75</v>
      </c>
      <c r="D123" s="48" t="s">
        <v>31</v>
      </c>
      <c r="E123" s="59" t="s">
        <v>269</v>
      </c>
      <c r="F123" s="46"/>
      <c r="G123" s="49" t="s">
        <v>268</v>
      </c>
      <c r="H123" s="46"/>
    </row>
    <row r="124" spans="1:8">
      <c r="A124" t="s">
        <v>188</v>
      </c>
      <c r="B124" s="46" t="s">
        <v>120</v>
      </c>
      <c r="C124" s="46" t="s">
        <v>75</v>
      </c>
      <c r="D124" s="48" t="s">
        <v>33</v>
      </c>
      <c r="E124" s="59" t="s">
        <v>272</v>
      </c>
      <c r="F124" s="46"/>
      <c r="G124" s="49" t="s">
        <v>271</v>
      </c>
      <c r="H124" s="46"/>
    </row>
    <row r="125" spans="1:8">
      <c r="A125" t="s">
        <v>188</v>
      </c>
      <c r="B125" s="46" t="s">
        <v>121</v>
      </c>
      <c r="C125" s="46" t="s">
        <v>267</v>
      </c>
      <c r="D125" s="48" t="s">
        <v>192</v>
      </c>
      <c r="E125" s="76" t="s">
        <v>270</v>
      </c>
      <c r="F125" s="46"/>
      <c r="G125" s="49" t="s">
        <v>191</v>
      </c>
      <c r="H125" s="46"/>
    </row>
    <row r="126" spans="1:8">
      <c r="A126" t="s">
        <v>188</v>
      </c>
      <c r="B126" s="46" t="s">
        <v>121</v>
      </c>
      <c r="C126" s="46" t="s">
        <v>267</v>
      </c>
      <c r="D126" s="48" t="s">
        <v>263</v>
      </c>
      <c r="E126" s="137" t="s">
        <v>264</v>
      </c>
      <c r="F126" s="46"/>
      <c r="G126" s="49" t="s">
        <v>262</v>
      </c>
      <c r="H126" s="46"/>
    </row>
    <row r="127" spans="1:8">
      <c r="A127" t="s">
        <v>188</v>
      </c>
      <c r="B127" s="46" t="s">
        <v>121</v>
      </c>
      <c r="C127" s="46" t="s">
        <v>267</v>
      </c>
      <c r="D127" s="48" t="s">
        <v>273</v>
      </c>
      <c r="E127" s="76" t="s">
        <v>270</v>
      </c>
      <c r="F127" s="46"/>
      <c r="G127" s="49" t="s">
        <v>274</v>
      </c>
      <c r="H127" s="46"/>
    </row>
    <row r="128" spans="1:8">
      <c r="A128" t="s">
        <v>188</v>
      </c>
      <c r="B128" s="46" t="s">
        <v>121</v>
      </c>
      <c r="C128" s="46" t="s">
        <v>267</v>
      </c>
      <c r="D128" s="48" t="s">
        <v>276</v>
      </c>
      <c r="E128" s="137" t="s">
        <v>277</v>
      </c>
      <c r="F128" s="46" t="s">
        <v>278</v>
      </c>
      <c r="G128" s="49" t="s">
        <v>275</v>
      </c>
      <c r="H128" s="46"/>
    </row>
    <row r="129" spans="2:8">
      <c r="B129" s="46"/>
      <c r="C129" s="46"/>
      <c r="D129" s="46"/>
      <c r="E129" s="54"/>
      <c r="F129" s="53"/>
      <c r="G129" s="46"/>
      <c r="H129" s="46"/>
    </row>
    <row r="130" spans="2:8">
      <c r="C130" s="48"/>
      <c r="D130" s="48"/>
      <c r="E130" s="52"/>
      <c r="F130" s="46"/>
      <c r="G130" s="49"/>
      <c r="H130" s="46"/>
    </row>
    <row r="131" spans="2:8">
      <c r="C131" s="48"/>
      <c r="D131" s="48"/>
      <c r="E131" s="52"/>
      <c r="F131" s="46"/>
      <c r="G131" s="49"/>
      <c r="H131" s="46"/>
    </row>
    <row r="132" spans="2:8">
      <c r="C132" s="48"/>
      <c r="D132" s="48"/>
      <c r="E132" s="52"/>
      <c r="F132" s="46"/>
      <c r="G132" s="49"/>
      <c r="H132" s="46"/>
    </row>
    <row r="133" spans="2:8">
      <c r="C133" s="48"/>
      <c r="D133" s="48"/>
      <c r="E133" s="52"/>
      <c r="F133" s="46"/>
      <c r="G133" s="49"/>
      <c r="H133" s="46"/>
    </row>
    <row r="134" spans="2:8">
      <c r="C134" s="48"/>
      <c r="D134" s="48"/>
      <c r="E134" s="52"/>
      <c r="F134" s="46"/>
      <c r="G134" s="49"/>
      <c r="H134" s="46"/>
    </row>
    <row r="135" spans="2:8">
      <c r="B135" s="46"/>
      <c r="C135" s="46"/>
      <c r="D135" s="48"/>
      <c r="F135" s="48"/>
      <c r="H135" s="46"/>
    </row>
    <row r="136" spans="2:8">
      <c r="B136" s="46"/>
      <c r="C136" s="46"/>
      <c r="D136" s="48"/>
      <c r="H136" s="46"/>
    </row>
    <row r="137" spans="2:8">
      <c r="B137" s="46"/>
      <c r="C137" s="46"/>
      <c r="D137" s="48"/>
      <c r="E137" s="51"/>
      <c r="H137" s="46"/>
    </row>
    <row r="138" spans="2:8">
      <c r="B138" s="46"/>
      <c r="C138" s="46"/>
      <c r="D138" s="48"/>
      <c r="H138" s="46"/>
    </row>
    <row r="139" spans="2:8">
      <c r="B139" s="46"/>
      <c r="C139" s="46"/>
      <c r="D139" s="48"/>
      <c r="H139" s="46"/>
    </row>
    <row r="140" spans="2:8">
      <c r="B140" s="46"/>
      <c r="C140" s="46"/>
      <c r="D140" s="48"/>
      <c r="H140" s="46"/>
    </row>
    <row r="141" spans="2:8">
      <c r="B141" s="46"/>
      <c r="C141" s="46"/>
      <c r="D141" s="48"/>
      <c r="H141" s="46"/>
    </row>
    <row r="142" spans="2:8">
      <c r="B142" s="46"/>
      <c r="C142" s="46"/>
      <c r="D142" s="48"/>
      <c r="E142" s="51"/>
      <c r="H142" s="46"/>
    </row>
    <row r="143" spans="2:8">
      <c r="B143" s="46"/>
      <c r="C143" s="46"/>
      <c r="D143" s="48"/>
      <c r="H143" s="46"/>
    </row>
    <row r="144" spans="2:8">
      <c r="B144" s="46"/>
      <c r="C144" s="46"/>
      <c r="D144" s="48"/>
      <c r="H144" s="46"/>
    </row>
    <row r="145" spans="2:8">
      <c r="B145" s="46"/>
      <c r="C145" s="46"/>
      <c r="D145" s="46"/>
      <c r="E145" s="51"/>
      <c r="G145" s="18"/>
      <c r="H145" s="46"/>
    </row>
    <row r="146" spans="2:8">
      <c r="B146" s="46"/>
      <c r="C146" s="46"/>
      <c r="D146" s="46"/>
      <c r="E146" s="46"/>
      <c r="F146" s="48"/>
      <c r="G146" s="49"/>
      <c r="H146" s="46"/>
    </row>
    <row r="147" spans="2:8">
      <c r="B147" s="46"/>
      <c r="C147" s="46"/>
      <c r="D147" s="48"/>
      <c r="E147" s="46"/>
      <c r="F147" s="46"/>
      <c r="G147" s="49"/>
      <c r="H147" s="46"/>
    </row>
    <row r="148" spans="2:8">
      <c r="B148" s="46"/>
      <c r="C148" s="46"/>
      <c r="D148" s="48"/>
      <c r="E148" s="48"/>
      <c r="F148" s="46"/>
      <c r="G148" s="49"/>
      <c r="H148" s="46"/>
    </row>
    <row r="149" spans="2:8">
      <c r="B149" s="46"/>
      <c r="C149" s="46"/>
      <c r="D149" s="46"/>
      <c r="E149" s="48"/>
      <c r="F149" s="46"/>
      <c r="G149" s="49"/>
      <c r="H149" s="46"/>
    </row>
    <row r="150" spans="2:8">
      <c r="B150" s="46"/>
      <c r="C150" s="46"/>
      <c r="D150" s="48"/>
      <c r="E150" s="50"/>
      <c r="F150" s="46"/>
      <c r="G150" s="49"/>
      <c r="H150" s="46"/>
    </row>
    <row r="151" spans="2:8">
      <c r="B151" s="46"/>
      <c r="C151" s="46"/>
      <c r="D151" s="48"/>
      <c r="E151" s="48"/>
      <c r="F151" s="48"/>
      <c r="G151" s="46"/>
      <c r="H151" s="46"/>
    </row>
    <row r="152" spans="2:8">
      <c r="B152" s="46"/>
      <c r="C152" s="46"/>
      <c r="D152" s="48"/>
      <c r="E152" s="48"/>
      <c r="F152" s="48"/>
      <c r="G152" s="46"/>
      <c r="H152" s="46"/>
    </row>
    <row r="153" spans="2:8">
      <c r="B153" s="46"/>
      <c r="C153" s="46"/>
      <c r="D153" s="48"/>
      <c r="E153" s="48"/>
      <c r="F153" s="48"/>
      <c r="G153" s="48"/>
      <c r="H153" s="46"/>
    </row>
    <row r="154" spans="2:8">
      <c r="B154" s="46"/>
      <c r="C154" s="46"/>
      <c r="D154" s="48"/>
      <c r="E154" s="48"/>
      <c r="F154" s="48"/>
      <c r="G154" s="46"/>
      <c r="H154" s="46"/>
    </row>
    <row r="155" spans="2:8">
      <c r="B155" s="46"/>
      <c r="C155" s="46"/>
      <c r="D155" s="48"/>
      <c r="E155" s="48"/>
      <c r="F155" s="48"/>
      <c r="G155" s="46"/>
      <c r="H155" s="46"/>
    </row>
    <row r="156" spans="2:8">
      <c r="B156" s="46"/>
      <c r="C156" s="46"/>
      <c r="D156" s="46"/>
      <c r="E156" s="48"/>
      <c r="F156" s="46"/>
      <c r="G156" s="48"/>
      <c r="H156" s="46"/>
    </row>
    <row r="157" spans="2:8">
      <c r="B157" s="46"/>
      <c r="C157" s="46"/>
      <c r="D157" s="48"/>
      <c r="E157" s="47"/>
      <c r="F157" s="46"/>
      <c r="G157" s="46"/>
      <c r="H157" s="46"/>
    </row>
    <row r="158" spans="2:8">
      <c r="B158" s="46"/>
      <c r="C158" s="46"/>
      <c r="D158" s="48"/>
      <c r="E158" s="47"/>
      <c r="F158" s="46"/>
      <c r="G158" s="46"/>
      <c r="H158" s="46"/>
    </row>
  </sheetData>
  <autoFilter ref="A2:H2" xr:uid="{00000000-0009-0000-0000-000000000000}"/>
  <hyperlinks>
    <hyperlink ref="B1" r:id="rId1" xr:uid="{00000000-0004-0000-0000-000000000000}"/>
    <hyperlink ref="G3" r:id="rId2" xr:uid="{00000000-0004-0000-0000-000001000000}"/>
    <hyperlink ref="G87" r:id="rId3" xr:uid="{00000000-0004-0000-0000-000003000000}"/>
    <hyperlink ref="G88" r:id="rId4" xr:uid="{00000000-0004-0000-0000-000004000000}"/>
    <hyperlink ref="G5" r:id="rId5" xr:uid="{00000000-0004-0000-0000-000007000000}"/>
    <hyperlink ref="G6" r:id="rId6" xr:uid="{00000000-0004-0000-0000-000008000000}"/>
    <hyperlink ref="G89" r:id="rId7" xr:uid="{00000000-0004-0000-0000-000009000000}"/>
    <hyperlink ref="G90" r:id="rId8" xr:uid="{00000000-0004-0000-0000-00000A000000}"/>
    <hyperlink ref="G34" r:id="rId9" xr:uid="{608D9A4F-CE97-4FE4-BA46-1FB0D15992DB}"/>
    <hyperlink ref="G121" r:id="rId10" xr:uid="{866C1F81-63E2-4DEC-8B16-B1CFD83E3B29}"/>
    <hyperlink ref="G125" r:id="rId11" xr:uid="{F1F0A747-18F1-4F19-9078-1DA2057FF2F5}"/>
    <hyperlink ref="G86" r:id="rId12" xr:uid="{5F7453F2-3A14-47B8-9951-44A26F90BABC}"/>
    <hyperlink ref="G29" r:id="rId13" xr:uid="{E4418C9A-14BF-49A7-BDC7-552ED6BA5C48}"/>
    <hyperlink ref="G126" r:id="rId14" xr:uid="{56D2F0CE-52D4-4D98-9DA9-E894DE524F17}"/>
    <hyperlink ref="G123" r:id="rId15" xr:uid="{433D9CA4-79F8-41A2-8925-4079ADBE431D}"/>
    <hyperlink ref="G124" r:id="rId16" xr:uid="{4ABF6206-5AAD-47C6-9DD5-9D6EA5F26A87}"/>
    <hyperlink ref="G85" r:id="rId17" xr:uid="{0D534799-3A78-4F21-BF2F-EF35EEB39EE0}"/>
    <hyperlink ref="G33" r:id="rId18" xr:uid="{3CBFC486-E9F7-472A-93EF-DDE1A682F6DB}"/>
    <hyperlink ref="G38" r:id="rId19" xr:uid="{39399C01-C3FA-45D2-95ED-0C781F0EA428}"/>
    <hyperlink ref="G48" r:id="rId20" xr:uid="{05BA0372-F0E9-4953-ABCB-02ECDB40C67D}"/>
    <hyperlink ref="G53" r:id="rId21" xr:uid="{C67635B1-C3FB-4ECE-8788-F7B634785025}"/>
    <hyperlink ref="G28" r:id="rId22" xr:uid="{EE019A0D-1CBD-4D21-B654-6CC0B233F3CF}"/>
  </hyperlinks>
  <pageMargins left="0.7" right="0.7" top="0.75" bottom="0.75" header="0.3" footer="0.3"/>
  <pageSetup orientation="portrait" r:id="rId23"/>
  <legacyDrawing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0FE35-91E9-43C5-8418-9F48BB14B115}">
  <sheetPr codeName="Sheet8">
    <pageSetUpPr fitToPage="1"/>
  </sheetPr>
  <dimension ref="B6:E26"/>
  <sheetViews>
    <sheetView workbookViewId="0">
      <selection sqref="A1:F27"/>
    </sheetView>
  </sheetViews>
  <sheetFormatPr defaultRowHeight="15"/>
  <cols>
    <col min="1" max="1" width="4.42578125" customWidth="1"/>
    <col min="2" max="2" width="19" customWidth="1"/>
    <col min="3" max="4" width="23.5703125" customWidth="1"/>
    <col min="5" max="5" width="61.5703125" customWidth="1"/>
    <col min="6" max="6" width="4.85546875" customWidth="1"/>
  </cols>
  <sheetData>
    <row r="6" spans="2:5" ht="15.75" thickBot="1"/>
    <row r="7" spans="2:5" ht="15.75" thickBot="1">
      <c r="B7" s="67" t="s">
        <v>259</v>
      </c>
      <c r="C7" s="136" t="s">
        <v>258</v>
      </c>
      <c r="D7" s="134"/>
      <c r="E7" s="135"/>
    </row>
    <row r="8" spans="2:5" ht="15.75" thickBot="1">
      <c r="B8" s="67" t="s">
        <v>255</v>
      </c>
      <c r="C8" s="133" t="s">
        <v>200</v>
      </c>
      <c r="D8" s="134"/>
      <c r="E8" s="135"/>
    </row>
    <row r="9" spans="2:5" ht="15.75" thickBot="1">
      <c r="B9" s="67" t="s">
        <v>256</v>
      </c>
      <c r="C9" s="133" t="s">
        <v>257</v>
      </c>
      <c r="D9" s="134"/>
      <c r="E9" s="135"/>
    </row>
    <row r="11" spans="2:5" ht="53.25" customHeight="1">
      <c r="B11" s="129" t="s">
        <v>254</v>
      </c>
      <c r="C11" s="130" t="s">
        <v>135</v>
      </c>
      <c r="D11" s="130" t="s">
        <v>153</v>
      </c>
      <c r="E11" s="130" t="s">
        <v>136</v>
      </c>
    </row>
    <row r="12" spans="2:5" ht="50.1" customHeight="1">
      <c r="B12" s="131">
        <v>1</v>
      </c>
      <c r="C12" s="131" t="s">
        <v>137</v>
      </c>
      <c r="D12" s="72">
        <v>99</v>
      </c>
      <c r="E12" s="132" t="s">
        <v>155</v>
      </c>
    </row>
    <row r="13" spans="2:5" ht="50.1" customHeight="1">
      <c r="B13" s="131">
        <v>2</v>
      </c>
      <c r="C13" s="131" t="s">
        <v>138</v>
      </c>
      <c r="D13" s="72">
        <v>99</v>
      </c>
      <c r="E13" s="132" t="s">
        <v>156</v>
      </c>
    </row>
    <row r="14" spans="2:5" ht="50.1" customHeight="1">
      <c r="B14" s="131">
        <v>3</v>
      </c>
      <c r="C14" s="131" t="s">
        <v>139</v>
      </c>
      <c r="D14" s="72">
        <v>99</v>
      </c>
      <c r="E14" s="132" t="s">
        <v>157</v>
      </c>
    </row>
    <row r="15" spans="2:5" ht="50.1" customHeight="1">
      <c r="B15" s="131">
        <v>4</v>
      </c>
      <c r="C15" s="131" t="s">
        <v>140</v>
      </c>
      <c r="D15" s="72">
        <v>99</v>
      </c>
      <c r="E15" s="132" t="s">
        <v>158</v>
      </c>
    </row>
    <row r="16" spans="2:5" ht="50.1" customHeight="1">
      <c r="B16" s="131">
        <v>5</v>
      </c>
      <c r="C16" s="131" t="s">
        <v>141</v>
      </c>
      <c r="D16" s="72">
        <v>99</v>
      </c>
      <c r="E16" s="132" t="s">
        <v>159</v>
      </c>
    </row>
    <row r="17" spans="2:5" ht="50.1" customHeight="1">
      <c r="B17" s="131">
        <v>6</v>
      </c>
      <c r="C17" s="131" t="s">
        <v>142</v>
      </c>
      <c r="D17" s="72">
        <v>99</v>
      </c>
      <c r="E17" s="132" t="s">
        <v>160</v>
      </c>
    </row>
    <row r="18" spans="2:5" ht="50.1" customHeight="1">
      <c r="B18" s="131">
        <v>7</v>
      </c>
      <c r="C18" s="131" t="s">
        <v>143</v>
      </c>
      <c r="D18" s="72">
        <v>99</v>
      </c>
      <c r="E18" s="132" t="s">
        <v>133</v>
      </c>
    </row>
    <row r="19" spans="2:5" ht="50.1" customHeight="1">
      <c r="B19" s="131">
        <v>8</v>
      </c>
      <c r="C19" s="131" t="s">
        <v>144</v>
      </c>
      <c r="D19" s="72">
        <v>99</v>
      </c>
      <c r="E19" s="132" t="s">
        <v>161</v>
      </c>
    </row>
    <row r="20" spans="2:5" ht="50.1" customHeight="1">
      <c r="B20" s="131">
        <v>9</v>
      </c>
      <c r="C20" s="131" t="s">
        <v>145</v>
      </c>
      <c r="D20" s="72">
        <v>99</v>
      </c>
      <c r="E20" s="132" t="s">
        <v>162</v>
      </c>
    </row>
    <row r="21" spans="2:5" ht="50.1" customHeight="1">
      <c r="B21" s="131">
        <v>10</v>
      </c>
      <c r="C21" s="131" t="s">
        <v>146</v>
      </c>
      <c r="D21" s="72">
        <v>99</v>
      </c>
      <c r="E21" s="132" t="s">
        <v>163</v>
      </c>
    </row>
    <row r="22" spans="2:5" ht="50.1" customHeight="1">
      <c r="B22" s="131">
        <v>11</v>
      </c>
      <c r="C22" s="131" t="s">
        <v>147</v>
      </c>
      <c r="D22" s="72">
        <v>99</v>
      </c>
      <c r="E22" s="132" t="s">
        <v>164</v>
      </c>
    </row>
    <row r="23" spans="2:5" ht="50.1" customHeight="1">
      <c r="B23" s="131">
        <v>12</v>
      </c>
      <c r="C23" s="131" t="s">
        <v>148</v>
      </c>
      <c r="D23" s="72">
        <v>99</v>
      </c>
      <c r="E23" s="132" t="s">
        <v>165</v>
      </c>
    </row>
    <row r="24" spans="2:5" ht="50.1" customHeight="1">
      <c r="B24" s="131">
        <v>13</v>
      </c>
      <c r="C24" s="131" t="s">
        <v>149</v>
      </c>
      <c r="D24" s="72">
        <v>99</v>
      </c>
      <c r="E24" s="132" t="s">
        <v>166</v>
      </c>
    </row>
    <row r="25" spans="2:5" ht="50.1" customHeight="1">
      <c r="B25" s="131">
        <v>14</v>
      </c>
      <c r="C25" s="131" t="s">
        <v>151</v>
      </c>
      <c r="D25" s="72">
        <v>99</v>
      </c>
      <c r="E25" s="132" t="s">
        <v>167</v>
      </c>
    </row>
    <row r="26" spans="2:5" ht="50.1" customHeight="1">
      <c r="B26" s="131">
        <v>15</v>
      </c>
      <c r="C26" s="131" t="s">
        <v>150</v>
      </c>
      <c r="D26" s="72">
        <v>99</v>
      </c>
      <c r="E26" s="132" t="s">
        <v>168</v>
      </c>
    </row>
  </sheetData>
  <pageMargins left="0.7" right="0.7" top="0.75" bottom="0.75" header="0.3" footer="0.3"/>
  <pageSetup scale="6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T37"/>
  <sheetViews>
    <sheetView tabSelected="1" zoomScale="55" zoomScaleNormal="55" workbookViewId="0"/>
  </sheetViews>
  <sheetFormatPr defaultColWidth="8.85546875" defaultRowHeight="15"/>
  <cols>
    <col min="1" max="1" width="13.42578125" customWidth="1"/>
    <col min="2" max="2" width="31.28515625" customWidth="1"/>
    <col min="3" max="4" width="42.140625" customWidth="1"/>
    <col min="20" max="20" width="21" customWidth="1"/>
    <col min="24" max="24" width="18.5703125" customWidth="1"/>
    <col min="35" max="35" width="3.85546875" customWidth="1"/>
    <col min="36" max="36" width="12.7109375" bestFit="1" customWidth="1"/>
    <col min="46" max="46" width="31.85546875" customWidth="1"/>
  </cols>
  <sheetData>
    <row r="1" spans="1:46" ht="15.75" thickBot="1"/>
    <row r="2" spans="1:46" ht="36.75" thickBot="1">
      <c r="X2" s="89" t="s">
        <v>252</v>
      </c>
      <c r="Y2" s="90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2"/>
    </row>
    <row r="3" spans="1:46" ht="73.5" customHeight="1" thickBot="1">
      <c r="A3" s="67" t="s">
        <v>177</v>
      </c>
      <c r="C3" s="69">
        <v>1</v>
      </c>
      <c r="X3" s="102"/>
      <c r="Y3" s="103" t="s">
        <v>178</v>
      </c>
      <c r="Z3" s="104">
        <f>COUNTA(DEPARTMENTS)</f>
        <v>10</v>
      </c>
      <c r="AA3" s="105"/>
      <c r="AB3" s="105"/>
      <c r="AC3" s="105"/>
      <c r="AD3" s="105"/>
      <c r="AE3" s="105"/>
      <c r="AF3" s="105"/>
      <c r="AG3" s="105"/>
      <c r="AH3" s="105"/>
      <c r="AI3" s="105"/>
      <c r="AJ3" s="106"/>
      <c r="AS3" t="s">
        <v>248</v>
      </c>
      <c r="AT3" s="77" t="str">
        <f>"Scoring for Department " &amp;CurrenDepartment</f>
        <v>Scoring for Department 1</v>
      </c>
    </row>
    <row r="4" spans="1:46" ht="15.75" thickBot="1">
      <c r="A4" s="67" t="str">
        <f>"Scoring for Department" &amp; CurrenDepartment</f>
        <v>Scoring for Department1</v>
      </c>
      <c r="X4" s="83"/>
      <c r="Y4" s="109" t="s">
        <v>249</v>
      </c>
      <c r="Z4" s="110"/>
      <c r="AA4" s="110"/>
      <c r="AB4" s="110"/>
      <c r="AC4" s="110"/>
      <c r="AD4" s="110"/>
      <c r="AE4" s="110"/>
      <c r="AF4" s="110"/>
      <c r="AG4" s="110"/>
      <c r="AH4" s="111"/>
      <c r="AI4" s="84"/>
      <c r="AJ4" s="85"/>
    </row>
    <row r="5" spans="1:46" ht="45.75" thickBot="1">
      <c r="A5" s="68" t="s">
        <v>134</v>
      </c>
      <c r="B5" s="68" t="s">
        <v>135</v>
      </c>
      <c r="C5" s="68" t="s">
        <v>153</v>
      </c>
      <c r="D5" s="68" t="s">
        <v>289</v>
      </c>
      <c r="E5" s="151" t="s">
        <v>136</v>
      </c>
      <c r="F5" s="152"/>
      <c r="G5" s="153"/>
      <c r="H5" s="153"/>
      <c r="I5" s="153"/>
      <c r="J5" s="153"/>
      <c r="K5" s="153"/>
      <c r="L5" s="153"/>
      <c r="M5" s="153"/>
      <c r="N5" s="153"/>
      <c r="O5" s="153"/>
      <c r="P5" s="153"/>
      <c r="Q5" s="153"/>
      <c r="R5" s="153"/>
      <c r="S5" s="153"/>
      <c r="T5" s="154"/>
      <c r="X5" s="114" t="s">
        <v>251</v>
      </c>
      <c r="Y5" s="93">
        <v>1</v>
      </c>
      <c r="Z5" s="94">
        <v>2</v>
      </c>
      <c r="AA5" s="94">
        <v>3</v>
      </c>
      <c r="AB5" s="94">
        <v>4</v>
      </c>
      <c r="AC5" s="94">
        <v>5</v>
      </c>
      <c r="AD5" s="94">
        <v>6</v>
      </c>
      <c r="AE5" s="94">
        <v>7</v>
      </c>
      <c r="AF5" s="94">
        <v>8</v>
      </c>
      <c r="AG5" s="94">
        <v>9</v>
      </c>
      <c r="AH5" s="95">
        <v>10</v>
      </c>
      <c r="AI5" s="108"/>
      <c r="AJ5" s="107" t="s">
        <v>250</v>
      </c>
    </row>
    <row r="6" spans="1:46">
      <c r="A6">
        <v>1</v>
      </c>
      <c r="B6" t="s">
        <v>137</v>
      </c>
      <c r="C6" s="66">
        <f t="shared" ref="C6:C20" ca="1" si="0">OFFSET(scoreAnchor,$A6,CurrenDepartment-1)</f>
        <v>91</v>
      </c>
      <c r="D6" s="66">
        <f t="shared" ref="D6:D20" ca="1" si="1">Overall</f>
        <v>19</v>
      </c>
      <c r="E6" s="155" t="s">
        <v>155</v>
      </c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X6" s="122">
        <f>A6</f>
        <v>1</v>
      </c>
      <c r="Y6" s="120">
        <v>91</v>
      </c>
      <c r="Z6" s="119">
        <v>18</v>
      </c>
      <c r="AA6" s="119">
        <v>4</v>
      </c>
      <c r="AB6" s="119">
        <v>83</v>
      </c>
      <c r="AC6" s="119">
        <v>69</v>
      </c>
      <c r="AD6" s="119">
        <v>22</v>
      </c>
      <c r="AE6" s="119">
        <v>64</v>
      </c>
      <c r="AF6" s="119">
        <v>33</v>
      </c>
      <c r="AG6" s="119">
        <v>10</v>
      </c>
      <c r="AH6" s="119">
        <v>45</v>
      </c>
      <c r="AI6" s="84"/>
      <c r="AJ6" s="115">
        <f>AVERAGE(Y6:AH6)</f>
        <v>43.9</v>
      </c>
    </row>
    <row r="7" spans="1:46">
      <c r="A7">
        <v>2</v>
      </c>
      <c r="B7" t="s">
        <v>138</v>
      </c>
      <c r="C7" s="66">
        <f t="shared" ca="1" si="0"/>
        <v>53</v>
      </c>
      <c r="D7" s="66">
        <f t="shared" ca="1" si="1"/>
        <v>19</v>
      </c>
      <c r="E7" s="155" t="s">
        <v>156</v>
      </c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7"/>
      <c r="X7" s="112">
        <f t="shared" ref="X7:X20" si="2">A7</f>
        <v>2</v>
      </c>
      <c r="Y7" s="121">
        <v>53</v>
      </c>
      <c r="Z7" s="118">
        <v>78</v>
      </c>
      <c r="AA7" s="118">
        <v>29</v>
      </c>
      <c r="AB7" s="118">
        <v>94</v>
      </c>
      <c r="AC7" s="118">
        <v>56</v>
      </c>
      <c r="AD7" s="118">
        <v>47</v>
      </c>
      <c r="AE7" s="118">
        <v>94</v>
      </c>
      <c r="AF7" s="118">
        <v>52</v>
      </c>
      <c r="AG7" s="118">
        <v>44</v>
      </c>
      <c r="AH7" s="118">
        <v>25</v>
      </c>
      <c r="AI7" s="84"/>
      <c r="AJ7" s="116">
        <f t="shared" ref="AJ7:AJ20" si="3">AVERAGE(Y7:AH7)</f>
        <v>57.2</v>
      </c>
    </row>
    <row r="8" spans="1:46">
      <c r="A8">
        <v>3</v>
      </c>
      <c r="B8" t="s">
        <v>139</v>
      </c>
      <c r="C8" s="66">
        <f t="shared" ca="1" si="0"/>
        <v>77</v>
      </c>
      <c r="D8" s="66">
        <f t="shared" ca="1" si="1"/>
        <v>19</v>
      </c>
      <c r="E8" s="155" t="s">
        <v>157</v>
      </c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7"/>
      <c r="X8" s="112">
        <f t="shared" si="2"/>
        <v>3</v>
      </c>
      <c r="Y8" s="121">
        <v>77</v>
      </c>
      <c r="Z8" s="118">
        <v>63</v>
      </c>
      <c r="AA8" s="118">
        <v>40</v>
      </c>
      <c r="AB8" s="118">
        <v>51</v>
      </c>
      <c r="AC8" s="118">
        <v>82</v>
      </c>
      <c r="AD8" s="118">
        <v>100</v>
      </c>
      <c r="AE8" s="118">
        <v>40</v>
      </c>
      <c r="AF8" s="118">
        <v>70</v>
      </c>
      <c r="AG8" s="118">
        <v>1</v>
      </c>
      <c r="AH8" s="118">
        <v>5</v>
      </c>
      <c r="AI8" s="84"/>
      <c r="AJ8" s="116">
        <f t="shared" si="3"/>
        <v>52.9</v>
      </c>
    </row>
    <row r="9" spans="1:46">
      <c r="A9">
        <v>4</v>
      </c>
      <c r="B9" t="s">
        <v>140</v>
      </c>
      <c r="C9" s="66">
        <f t="shared" ca="1" si="0"/>
        <v>1</v>
      </c>
      <c r="D9" s="66">
        <f t="shared" ca="1" si="1"/>
        <v>19</v>
      </c>
      <c r="E9" s="155" t="s">
        <v>158</v>
      </c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7"/>
      <c r="X9" s="112">
        <f t="shared" si="2"/>
        <v>4</v>
      </c>
      <c r="Y9" s="121">
        <v>1</v>
      </c>
      <c r="Z9" s="118">
        <v>23</v>
      </c>
      <c r="AA9" s="118">
        <v>89</v>
      </c>
      <c r="AB9" s="118">
        <v>87</v>
      </c>
      <c r="AC9" s="118">
        <v>51</v>
      </c>
      <c r="AD9" s="118">
        <v>30</v>
      </c>
      <c r="AE9" s="118">
        <v>31</v>
      </c>
      <c r="AF9" s="118">
        <v>41</v>
      </c>
      <c r="AG9" s="118">
        <v>52</v>
      </c>
      <c r="AH9" s="118">
        <v>76</v>
      </c>
      <c r="AI9" s="84"/>
      <c r="AJ9" s="116">
        <f t="shared" si="3"/>
        <v>48.1</v>
      </c>
    </row>
    <row r="10" spans="1:46">
      <c r="A10">
        <v>5</v>
      </c>
      <c r="B10" t="s">
        <v>141</v>
      </c>
      <c r="C10" s="66">
        <f t="shared" ca="1" si="0"/>
        <v>1</v>
      </c>
      <c r="D10" s="66">
        <f t="shared" ca="1" si="1"/>
        <v>19</v>
      </c>
      <c r="E10" s="155" t="s">
        <v>159</v>
      </c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7"/>
      <c r="X10" s="112">
        <f t="shared" si="2"/>
        <v>5</v>
      </c>
      <c r="Y10" s="121">
        <v>1</v>
      </c>
      <c r="Z10" s="118">
        <v>96</v>
      </c>
      <c r="AA10" s="118">
        <v>64</v>
      </c>
      <c r="AB10" s="118">
        <v>93</v>
      </c>
      <c r="AC10" s="118">
        <v>70</v>
      </c>
      <c r="AD10" s="118">
        <v>18</v>
      </c>
      <c r="AE10" s="118">
        <v>34</v>
      </c>
      <c r="AF10" s="118">
        <v>4</v>
      </c>
      <c r="AG10" s="118">
        <v>64</v>
      </c>
      <c r="AH10" s="118">
        <v>10</v>
      </c>
      <c r="AI10" s="84"/>
      <c r="AJ10" s="116">
        <f t="shared" si="3"/>
        <v>45.4</v>
      </c>
    </row>
    <row r="11" spans="1:46">
      <c r="A11">
        <v>6</v>
      </c>
      <c r="B11" t="s">
        <v>142</v>
      </c>
      <c r="C11" s="66">
        <f t="shared" ca="1" si="0"/>
        <v>1</v>
      </c>
      <c r="D11" s="66">
        <f t="shared" ca="1" si="1"/>
        <v>19</v>
      </c>
      <c r="E11" s="155" t="s">
        <v>160</v>
      </c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7"/>
      <c r="X11" s="112">
        <f t="shared" si="2"/>
        <v>6</v>
      </c>
      <c r="Y11" s="121">
        <v>1</v>
      </c>
      <c r="Z11" s="118">
        <v>33</v>
      </c>
      <c r="AA11" s="118">
        <v>2</v>
      </c>
      <c r="AB11" s="118">
        <v>99</v>
      </c>
      <c r="AC11" s="118">
        <v>21</v>
      </c>
      <c r="AD11" s="118">
        <v>14</v>
      </c>
      <c r="AE11" s="118">
        <v>20</v>
      </c>
      <c r="AF11" s="118">
        <v>68</v>
      </c>
      <c r="AG11" s="118">
        <v>72</v>
      </c>
      <c r="AH11" s="118">
        <v>29</v>
      </c>
      <c r="AI11" s="84"/>
      <c r="AJ11" s="116">
        <f t="shared" si="3"/>
        <v>35.9</v>
      </c>
    </row>
    <row r="12" spans="1:46">
      <c r="A12">
        <v>7</v>
      </c>
      <c r="B12" t="s">
        <v>143</v>
      </c>
      <c r="C12" s="66">
        <f t="shared" ca="1" si="0"/>
        <v>1</v>
      </c>
      <c r="D12" s="66">
        <f t="shared" ca="1" si="1"/>
        <v>19</v>
      </c>
      <c r="E12" s="155" t="s">
        <v>133</v>
      </c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7"/>
      <c r="X12" s="112">
        <f t="shared" si="2"/>
        <v>7</v>
      </c>
      <c r="Y12" s="121">
        <v>1</v>
      </c>
      <c r="Z12" s="118">
        <v>77</v>
      </c>
      <c r="AA12" s="118">
        <v>55</v>
      </c>
      <c r="AB12" s="118">
        <v>27</v>
      </c>
      <c r="AC12" s="118">
        <v>65</v>
      </c>
      <c r="AD12" s="118">
        <v>55</v>
      </c>
      <c r="AE12" s="118">
        <v>23</v>
      </c>
      <c r="AF12" s="118">
        <v>57</v>
      </c>
      <c r="AG12" s="118">
        <v>11</v>
      </c>
      <c r="AH12" s="118">
        <v>48</v>
      </c>
      <c r="AI12" s="84"/>
      <c r="AJ12" s="116">
        <f t="shared" si="3"/>
        <v>41.9</v>
      </c>
    </row>
    <row r="13" spans="1:46">
      <c r="A13">
        <v>8</v>
      </c>
      <c r="B13" t="s">
        <v>144</v>
      </c>
      <c r="C13" s="66">
        <f t="shared" ca="1" si="0"/>
        <v>1</v>
      </c>
      <c r="D13" s="66">
        <f t="shared" ca="1" si="1"/>
        <v>19</v>
      </c>
      <c r="E13" s="155" t="s">
        <v>161</v>
      </c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7"/>
      <c r="X13" s="112">
        <f t="shared" si="2"/>
        <v>8</v>
      </c>
      <c r="Y13" s="121">
        <v>1</v>
      </c>
      <c r="Z13" s="118">
        <v>87</v>
      </c>
      <c r="AA13" s="118">
        <v>99</v>
      </c>
      <c r="AB13" s="118">
        <v>77</v>
      </c>
      <c r="AC13" s="118">
        <v>73</v>
      </c>
      <c r="AD13" s="118">
        <v>94</v>
      </c>
      <c r="AE13" s="118">
        <v>90</v>
      </c>
      <c r="AF13" s="118">
        <v>40</v>
      </c>
      <c r="AG13" s="118">
        <v>60</v>
      </c>
      <c r="AH13" s="118">
        <v>60</v>
      </c>
      <c r="AI13" s="84"/>
      <c r="AJ13" s="116">
        <f t="shared" si="3"/>
        <v>68.099999999999994</v>
      </c>
    </row>
    <row r="14" spans="1:46">
      <c r="A14">
        <v>9</v>
      </c>
      <c r="B14" t="s">
        <v>145</v>
      </c>
      <c r="C14" s="66">
        <f t="shared" ca="1" si="0"/>
        <v>21</v>
      </c>
      <c r="D14" s="66">
        <f t="shared" ca="1" si="1"/>
        <v>19</v>
      </c>
      <c r="E14" s="155" t="s">
        <v>162</v>
      </c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7"/>
      <c r="X14" s="112">
        <f t="shared" si="2"/>
        <v>9</v>
      </c>
      <c r="Y14" s="121">
        <v>21</v>
      </c>
      <c r="Z14" s="118">
        <v>95</v>
      </c>
      <c r="AA14" s="118">
        <v>2</v>
      </c>
      <c r="AB14" s="118">
        <v>88</v>
      </c>
      <c r="AC14" s="118">
        <v>14</v>
      </c>
      <c r="AD14" s="118">
        <v>12</v>
      </c>
      <c r="AE14" s="118">
        <v>3</v>
      </c>
      <c r="AF14" s="118">
        <v>19</v>
      </c>
      <c r="AG14" s="118">
        <v>16</v>
      </c>
      <c r="AH14" s="118">
        <v>11</v>
      </c>
      <c r="AI14" s="84"/>
      <c r="AJ14" s="116">
        <f t="shared" si="3"/>
        <v>28.1</v>
      </c>
    </row>
    <row r="15" spans="1:46">
      <c r="A15">
        <v>10</v>
      </c>
      <c r="B15" t="s">
        <v>146</v>
      </c>
      <c r="C15" s="66">
        <f t="shared" ca="1" si="0"/>
        <v>33</v>
      </c>
      <c r="D15" s="66">
        <f t="shared" ca="1" si="1"/>
        <v>19</v>
      </c>
      <c r="E15" s="155" t="s">
        <v>163</v>
      </c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X15" s="112">
        <f t="shared" si="2"/>
        <v>10</v>
      </c>
      <c r="Y15" s="121">
        <v>33</v>
      </c>
      <c r="Z15" s="118">
        <v>64</v>
      </c>
      <c r="AA15" s="118">
        <v>36</v>
      </c>
      <c r="AB15" s="118">
        <v>28</v>
      </c>
      <c r="AC15" s="118">
        <v>10</v>
      </c>
      <c r="AD15" s="118">
        <v>8</v>
      </c>
      <c r="AE15" s="118">
        <v>25</v>
      </c>
      <c r="AF15" s="118">
        <v>41</v>
      </c>
      <c r="AG15" s="118">
        <v>16</v>
      </c>
      <c r="AH15" s="118">
        <v>80</v>
      </c>
      <c r="AI15" s="84"/>
      <c r="AJ15" s="116">
        <f t="shared" si="3"/>
        <v>34.1</v>
      </c>
    </row>
    <row r="16" spans="1:46">
      <c r="A16">
        <v>11</v>
      </c>
      <c r="B16" t="s">
        <v>147</v>
      </c>
      <c r="C16" s="66">
        <f t="shared" ca="1" si="0"/>
        <v>1</v>
      </c>
      <c r="D16" s="66">
        <f t="shared" ca="1" si="1"/>
        <v>19</v>
      </c>
      <c r="E16" s="155" t="s">
        <v>164</v>
      </c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X16" s="112">
        <f t="shared" si="2"/>
        <v>11</v>
      </c>
      <c r="Y16" s="121">
        <v>1</v>
      </c>
      <c r="Z16" s="118">
        <v>21</v>
      </c>
      <c r="AA16" s="118">
        <v>32</v>
      </c>
      <c r="AB16" s="118">
        <v>34</v>
      </c>
      <c r="AC16" s="118">
        <v>4</v>
      </c>
      <c r="AD16" s="118">
        <v>6</v>
      </c>
      <c r="AE16" s="118">
        <v>56</v>
      </c>
      <c r="AF16" s="118">
        <v>91</v>
      </c>
      <c r="AG16" s="118">
        <v>94</v>
      </c>
      <c r="AH16" s="118">
        <v>14</v>
      </c>
      <c r="AI16" s="84"/>
      <c r="AJ16" s="116">
        <f t="shared" si="3"/>
        <v>35.299999999999997</v>
      </c>
    </row>
    <row r="17" spans="1:36">
      <c r="A17">
        <v>12</v>
      </c>
      <c r="B17" t="s">
        <v>148</v>
      </c>
      <c r="C17" s="66">
        <f t="shared" ca="1" si="0"/>
        <v>1</v>
      </c>
      <c r="D17" s="66">
        <f t="shared" ca="1" si="1"/>
        <v>19</v>
      </c>
      <c r="E17" s="155" t="s">
        <v>165</v>
      </c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X17" s="112">
        <f t="shared" si="2"/>
        <v>12</v>
      </c>
      <c r="Y17" s="121">
        <v>1</v>
      </c>
      <c r="Z17" s="118">
        <v>100</v>
      </c>
      <c r="AA17" s="118">
        <v>15</v>
      </c>
      <c r="AB17" s="118">
        <v>30</v>
      </c>
      <c r="AC17" s="118">
        <v>85</v>
      </c>
      <c r="AD17" s="118">
        <v>60</v>
      </c>
      <c r="AE17" s="118">
        <v>96</v>
      </c>
      <c r="AF17" s="118">
        <v>90</v>
      </c>
      <c r="AG17" s="118">
        <v>85</v>
      </c>
      <c r="AH17" s="118">
        <v>71</v>
      </c>
      <c r="AI17" s="84"/>
      <c r="AJ17" s="116">
        <f t="shared" si="3"/>
        <v>63.3</v>
      </c>
    </row>
    <row r="18" spans="1:36">
      <c r="A18">
        <v>13</v>
      </c>
      <c r="B18" t="s">
        <v>149</v>
      </c>
      <c r="C18" s="66">
        <f t="shared" ca="1" si="0"/>
        <v>1</v>
      </c>
      <c r="D18" s="66">
        <f t="shared" ca="1" si="1"/>
        <v>19</v>
      </c>
      <c r="E18" s="155" t="s">
        <v>166</v>
      </c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X18" s="112">
        <f t="shared" si="2"/>
        <v>13</v>
      </c>
      <c r="Y18" s="121">
        <v>1</v>
      </c>
      <c r="Z18" s="118">
        <v>46</v>
      </c>
      <c r="AA18" s="118">
        <v>52</v>
      </c>
      <c r="AB18" s="118">
        <v>75</v>
      </c>
      <c r="AC18" s="118">
        <v>83</v>
      </c>
      <c r="AD18" s="118">
        <v>18</v>
      </c>
      <c r="AE18" s="118">
        <v>44</v>
      </c>
      <c r="AF18" s="118">
        <v>30</v>
      </c>
      <c r="AG18" s="118">
        <v>45</v>
      </c>
      <c r="AH18" s="118">
        <v>57</v>
      </c>
      <c r="AI18" s="84"/>
      <c r="AJ18" s="116">
        <f t="shared" si="3"/>
        <v>45.1</v>
      </c>
    </row>
    <row r="19" spans="1:36">
      <c r="A19">
        <v>14</v>
      </c>
      <c r="B19" t="s">
        <v>151</v>
      </c>
      <c r="C19" s="66">
        <f t="shared" ca="1" si="0"/>
        <v>1</v>
      </c>
      <c r="D19" s="66">
        <f t="shared" ca="1" si="1"/>
        <v>19</v>
      </c>
      <c r="E19" s="155" t="s">
        <v>167</v>
      </c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X19" s="112">
        <f t="shared" si="2"/>
        <v>14</v>
      </c>
      <c r="Y19" s="121">
        <v>1</v>
      </c>
      <c r="Z19" s="118">
        <v>54</v>
      </c>
      <c r="AA19" s="118">
        <v>93</v>
      </c>
      <c r="AB19" s="118">
        <v>30</v>
      </c>
      <c r="AC19" s="118">
        <v>88</v>
      </c>
      <c r="AD19" s="118">
        <v>23</v>
      </c>
      <c r="AE19" s="118">
        <v>27</v>
      </c>
      <c r="AF19" s="118">
        <v>44</v>
      </c>
      <c r="AG19" s="118">
        <v>31</v>
      </c>
      <c r="AH19" s="118">
        <v>5</v>
      </c>
      <c r="AI19" s="84"/>
      <c r="AJ19" s="116">
        <f t="shared" si="3"/>
        <v>39.6</v>
      </c>
    </row>
    <row r="20" spans="1:36" ht="15.75" thickBot="1">
      <c r="A20">
        <v>15</v>
      </c>
      <c r="B20" t="s">
        <v>150</v>
      </c>
      <c r="C20" s="66">
        <f t="shared" ca="1" si="0"/>
        <v>1</v>
      </c>
      <c r="D20" s="66">
        <f t="shared" ca="1" si="1"/>
        <v>19</v>
      </c>
      <c r="E20" s="158" t="s">
        <v>168</v>
      </c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60"/>
      <c r="X20" s="113">
        <f t="shared" si="2"/>
        <v>15</v>
      </c>
      <c r="Y20" s="121">
        <v>1</v>
      </c>
      <c r="Z20" s="118">
        <v>97</v>
      </c>
      <c r="AA20" s="118">
        <v>48</v>
      </c>
      <c r="AB20" s="118">
        <v>31</v>
      </c>
      <c r="AC20" s="118">
        <v>96</v>
      </c>
      <c r="AD20" s="118">
        <v>93</v>
      </c>
      <c r="AE20" s="118">
        <v>22</v>
      </c>
      <c r="AF20" s="118">
        <v>95</v>
      </c>
      <c r="AG20" s="118">
        <v>59</v>
      </c>
      <c r="AH20" s="118">
        <v>45</v>
      </c>
      <c r="AI20" s="84"/>
      <c r="AJ20" s="117">
        <f t="shared" si="3"/>
        <v>58.7</v>
      </c>
    </row>
    <row r="21" spans="1:36">
      <c r="C21" s="66"/>
      <c r="D21" s="66"/>
      <c r="X21" s="83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5"/>
    </row>
    <row r="22" spans="1:36" ht="15.75" thickBot="1">
      <c r="C22" s="66"/>
      <c r="D22" s="66"/>
      <c r="X22" s="83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5"/>
    </row>
    <row r="23" spans="1:36" ht="15.75" thickBot="1">
      <c r="B23" s="67" t="s">
        <v>180</v>
      </c>
      <c r="C23" s="70">
        <f ca="1">OFFSET(OverallAnchor,0,CurrenDepartment)</f>
        <v>19</v>
      </c>
      <c r="D23" s="70"/>
      <c r="X23" s="124" t="s">
        <v>180</v>
      </c>
      <c r="Y23" s="118">
        <f>AVERAGE(Y6:Y20)</f>
        <v>19</v>
      </c>
      <c r="Z23" s="118">
        <f t="shared" ref="Z23:AH23" si="4">AVERAGE(Z6:Z20)</f>
        <v>63.466666666666669</v>
      </c>
      <c r="AA23" s="118">
        <f t="shared" si="4"/>
        <v>44</v>
      </c>
      <c r="AB23" s="118">
        <f t="shared" si="4"/>
        <v>61.8</v>
      </c>
      <c r="AC23" s="118">
        <f t="shared" si="4"/>
        <v>57.8</v>
      </c>
      <c r="AD23" s="118">
        <f t="shared" si="4"/>
        <v>40</v>
      </c>
      <c r="AE23" s="118">
        <f t="shared" si="4"/>
        <v>44.6</v>
      </c>
      <c r="AF23" s="118">
        <f t="shared" si="4"/>
        <v>51.666666666666664</v>
      </c>
      <c r="AG23" s="118">
        <f t="shared" si="4"/>
        <v>44</v>
      </c>
      <c r="AH23" s="118">
        <f t="shared" si="4"/>
        <v>38.733333333333334</v>
      </c>
      <c r="AI23" s="84"/>
      <c r="AJ23" s="127">
        <f>AVERAGE(Y23:AH23)</f>
        <v>46.506666666666675</v>
      </c>
    </row>
    <row r="24" spans="1:36" ht="15.75" thickBot="1">
      <c r="C24" s="66"/>
      <c r="D24" s="66"/>
      <c r="X24" s="86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7"/>
    </row>
    <row r="25" spans="1:36" ht="15.75" thickBot="1">
      <c r="B25" s="67" t="s">
        <v>181</v>
      </c>
      <c r="C25" s="71">
        <f ca="1">OFFSET(CostAnchor,0,CurrenDepartment)</f>
        <v>100000</v>
      </c>
      <c r="D25" s="71"/>
      <c r="X25" s="124" t="s">
        <v>181</v>
      </c>
      <c r="Y25" s="123">
        <v>100000</v>
      </c>
      <c r="Z25" s="123">
        <v>90000</v>
      </c>
      <c r="AA25" s="123">
        <v>80000</v>
      </c>
      <c r="AB25" s="123">
        <v>70000</v>
      </c>
      <c r="AC25" s="123">
        <v>60000</v>
      </c>
      <c r="AD25" s="123">
        <v>50000</v>
      </c>
      <c r="AE25" s="123">
        <v>40000</v>
      </c>
      <c r="AF25" s="123">
        <v>30000</v>
      </c>
      <c r="AG25" s="123">
        <v>20000</v>
      </c>
      <c r="AH25" s="123">
        <v>10000</v>
      </c>
      <c r="AI25" s="84"/>
      <c r="AJ25" s="128">
        <f>AVERAGE(Y25:AH25)</f>
        <v>55000</v>
      </c>
    </row>
    <row r="26" spans="1:36" ht="15.75" thickBot="1">
      <c r="C26" s="66"/>
      <c r="D26" s="66"/>
      <c r="X26" s="86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7"/>
    </row>
    <row r="27" spans="1:36" ht="15.75" thickBot="1">
      <c r="B27" s="67" t="s">
        <v>182</v>
      </c>
      <c r="C27" s="70">
        <f ca="1">OFFSET(RatioAnchor,0,CurrenDepartment)</f>
        <v>1.9</v>
      </c>
      <c r="D27" s="70"/>
      <c r="X27" s="125" t="s">
        <v>182</v>
      </c>
      <c r="Y27" s="126">
        <f>Y23*10000/Y25</f>
        <v>1.9</v>
      </c>
      <c r="Z27" s="126">
        <f t="shared" ref="Z27:AH27" si="5">Z23*10000/Z25</f>
        <v>7.0518518518518514</v>
      </c>
      <c r="AA27" s="126">
        <f t="shared" si="5"/>
        <v>5.5</v>
      </c>
      <c r="AB27" s="126">
        <f t="shared" si="5"/>
        <v>8.8285714285714292</v>
      </c>
      <c r="AC27" s="126">
        <f t="shared" si="5"/>
        <v>9.6333333333333329</v>
      </c>
      <c r="AD27" s="126">
        <f t="shared" si="5"/>
        <v>8</v>
      </c>
      <c r="AE27" s="126">
        <f t="shared" si="5"/>
        <v>11.15</v>
      </c>
      <c r="AF27" s="126">
        <f t="shared" si="5"/>
        <v>17.222222222222221</v>
      </c>
      <c r="AG27" s="126">
        <f t="shared" si="5"/>
        <v>22</v>
      </c>
      <c r="AH27" s="126">
        <f t="shared" si="5"/>
        <v>38.733333333333334</v>
      </c>
      <c r="AI27" s="88"/>
      <c r="AJ27" s="127">
        <f>AVERAGE(Y27:AH27)</f>
        <v>13.001931216931217</v>
      </c>
    </row>
    <row r="37" spans="2:3">
      <c r="B37" t="s">
        <v>185</v>
      </c>
      <c r="C37" s="72" t="s">
        <v>206</v>
      </c>
    </row>
  </sheetData>
  <dataValidations count="2">
    <dataValidation type="list" allowBlank="1" showInputMessage="1" showErrorMessage="1" sqref="C3" xr:uid="{00000000-0002-0000-0600-000000000000}">
      <formula1>DEPARTMENTS</formula1>
    </dataValidation>
    <dataValidation type="list" allowBlank="1" showInputMessage="1" showErrorMessage="1" sqref="C37" xr:uid="{00000000-0002-0000-0600-000001000000}">
      <formula1>"PDF, Image"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ExportChart">
                <anchor moveWithCells="1" sizeWithCells="1">
                  <from>
                    <xdr:col>1</xdr:col>
                    <xdr:colOff>66675</xdr:colOff>
                    <xdr:row>27</xdr:row>
                    <xdr:rowOff>19050</xdr:rowOff>
                  </from>
                  <to>
                    <xdr:col>1</xdr:col>
                    <xdr:colOff>2047875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53"/>
  <sheetViews>
    <sheetView zoomScale="70" zoomScaleNormal="70" workbookViewId="0">
      <pane ySplit="2" topLeftCell="A3" activePane="bottomLeft" state="frozen"/>
      <selection pane="bottomLeft" activeCell="L3" sqref="L3"/>
    </sheetView>
  </sheetViews>
  <sheetFormatPr defaultColWidth="11.42578125" defaultRowHeight="15.75"/>
  <cols>
    <col min="1" max="2" width="21" style="4" customWidth="1"/>
    <col min="3" max="3" width="33.42578125" style="4" bestFit="1" customWidth="1"/>
    <col min="4" max="4" width="16.7109375" style="4" customWidth="1"/>
    <col min="5" max="5" width="29.140625" style="4" bestFit="1" customWidth="1"/>
    <col min="6" max="6" width="18.140625" style="4" customWidth="1"/>
    <col min="7" max="7" width="7.7109375" style="4" customWidth="1"/>
    <col min="8" max="8" width="9.140625" style="4" customWidth="1"/>
    <col min="9" max="9" width="19.28515625" style="1" customWidth="1"/>
    <col min="10" max="10" width="13.28515625" style="3" customWidth="1"/>
    <col min="11" max="11" width="15.42578125" style="13" customWidth="1"/>
    <col min="12" max="12" width="15.42578125" style="7" customWidth="1"/>
    <col min="13" max="13" width="1.140625" style="16" customWidth="1"/>
    <col min="14" max="14" width="23.7109375" style="3" customWidth="1"/>
    <col min="15" max="15" width="14.140625" style="1" bestFit="1" customWidth="1"/>
    <col min="16" max="16" width="11.140625" style="2" customWidth="1"/>
    <col min="17" max="25" width="11.42578125" style="1" customWidth="1"/>
    <col min="26" max="26" width="10.42578125" style="1" bestFit="1" customWidth="1"/>
    <col min="27" max="16384" width="11.42578125" style="1"/>
  </cols>
  <sheetData>
    <row r="1" spans="1:26" ht="54.75" customHeight="1" thickBot="1">
      <c r="A1" s="96" t="s">
        <v>287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8"/>
      <c r="N1" s="14"/>
      <c r="Y1" s="1" t="s">
        <v>77</v>
      </c>
      <c r="Z1" s="1">
        <f>COUNTA(L3:L11)</f>
        <v>9</v>
      </c>
    </row>
    <row r="2" spans="1:26" s="9" customFormat="1" ht="51" customHeight="1">
      <c r="A2" s="30" t="s">
        <v>16</v>
      </c>
      <c r="B2" s="31" t="s">
        <v>76</v>
      </c>
      <c r="C2" s="32" t="s">
        <v>49</v>
      </c>
      <c r="D2" s="31" t="s">
        <v>41</v>
      </c>
      <c r="E2" s="31" t="s">
        <v>42</v>
      </c>
      <c r="F2" s="31" t="s">
        <v>18</v>
      </c>
      <c r="G2" s="31" t="s">
        <v>17</v>
      </c>
      <c r="H2" s="32" t="s">
        <v>70</v>
      </c>
      <c r="I2" s="31" t="s">
        <v>3</v>
      </c>
      <c r="J2" s="32" t="s">
        <v>14</v>
      </c>
      <c r="K2" s="32" t="s">
        <v>4</v>
      </c>
      <c r="L2" s="33" t="s">
        <v>288</v>
      </c>
      <c r="M2" s="17"/>
      <c r="N2" s="8"/>
      <c r="P2" s="10"/>
    </row>
    <row r="3" spans="1:26" s="9" customFormat="1" ht="20.100000000000001" customHeight="1">
      <c r="A3" s="34" t="s">
        <v>56</v>
      </c>
      <c r="B3" s="24" t="s">
        <v>58</v>
      </c>
      <c r="C3" s="37" t="s">
        <v>63</v>
      </c>
      <c r="D3" s="29" t="s">
        <v>19</v>
      </c>
      <c r="E3" s="29" t="s">
        <v>20</v>
      </c>
      <c r="F3" s="29" t="s">
        <v>37</v>
      </c>
      <c r="G3" s="29" t="s">
        <v>38</v>
      </c>
      <c r="H3" s="29" t="s">
        <v>71</v>
      </c>
      <c r="I3" s="29" t="s">
        <v>8</v>
      </c>
      <c r="J3" s="35">
        <v>2012</v>
      </c>
      <c r="K3" s="35">
        <f>J3+10</f>
        <v>2022</v>
      </c>
      <c r="L3" s="138">
        <v>650</v>
      </c>
      <c r="M3" s="17"/>
      <c r="N3" s="8"/>
      <c r="P3" s="10"/>
    </row>
    <row r="4" spans="1:26" s="9" customFormat="1" ht="20.100000000000001" customHeight="1">
      <c r="A4" s="34" t="s">
        <v>57</v>
      </c>
      <c r="B4" s="24" t="s">
        <v>58</v>
      </c>
      <c r="C4" s="37" t="s">
        <v>64</v>
      </c>
      <c r="D4" s="29"/>
      <c r="E4" s="29"/>
      <c r="F4" s="29"/>
      <c r="G4" s="29" t="s">
        <v>39</v>
      </c>
      <c r="H4" s="29" t="s">
        <v>72</v>
      </c>
      <c r="I4" s="29" t="s">
        <v>10</v>
      </c>
      <c r="J4" s="35">
        <v>2012</v>
      </c>
      <c r="K4" s="35">
        <f t="shared" ref="K4:K11" si="0">J4+10</f>
        <v>2022</v>
      </c>
      <c r="L4" s="138">
        <v>200</v>
      </c>
      <c r="M4" s="17"/>
      <c r="N4" s="8"/>
      <c r="P4" s="10"/>
    </row>
    <row r="5" spans="1:26" s="9" customFormat="1" ht="20.100000000000001" customHeight="1">
      <c r="A5" s="34" t="s">
        <v>60</v>
      </c>
      <c r="B5" s="36" t="s">
        <v>59</v>
      </c>
      <c r="C5" s="37" t="s">
        <v>36</v>
      </c>
      <c r="D5" s="29" t="s">
        <v>34</v>
      </c>
      <c r="E5" s="29" t="s">
        <v>35</v>
      </c>
      <c r="F5" s="29" t="s">
        <v>46</v>
      </c>
      <c r="G5" s="29" t="s">
        <v>40</v>
      </c>
      <c r="H5" s="29" t="s">
        <v>73</v>
      </c>
      <c r="I5" s="29" t="s">
        <v>9</v>
      </c>
      <c r="J5" s="35">
        <v>2009</v>
      </c>
      <c r="K5" s="35">
        <f t="shared" si="0"/>
        <v>2019</v>
      </c>
      <c r="L5" s="138">
        <v>1000</v>
      </c>
      <c r="M5" s="17"/>
      <c r="N5" s="8"/>
      <c r="P5" s="10"/>
    </row>
    <row r="6" spans="1:26" s="9" customFormat="1" ht="16.5">
      <c r="A6" s="34" t="s">
        <v>1</v>
      </c>
      <c r="B6" s="36" t="s">
        <v>48</v>
      </c>
      <c r="C6" s="37" t="s">
        <v>69</v>
      </c>
      <c r="D6" s="29" t="s">
        <v>19</v>
      </c>
      <c r="E6" s="38" t="s">
        <v>28</v>
      </c>
      <c r="F6" s="29"/>
      <c r="G6" s="29" t="s">
        <v>38</v>
      </c>
      <c r="H6" s="29" t="s">
        <v>71</v>
      </c>
      <c r="I6" s="29" t="s">
        <v>11</v>
      </c>
      <c r="J6" s="35">
        <v>2009</v>
      </c>
      <c r="K6" s="35">
        <f t="shared" si="0"/>
        <v>2019</v>
      </c>
      <c r="L6" s="138">
        <v>2700</v>
      </c>
      <c r="M6" s="17"/>
      <c r="N6" s="8"/>
      <c r="P6" s="10"/>
    </row>
    <row r="7" spans="1:26" s="9" customFormat="1" ht="20.100000000000001" customHeight="1">
      <c r="A7" s="34" t="s">
        <v>1</v>
      </c>
      <c r="B7" s="36" t="s">
        <v>48</v>
      </c>
      <c r="C7" s="37" t="s">
        <v>68</v>
      </c>
      <c r="D7" s="29" t="s">
        <v>19</v>
      </c>
      <c r="E7" s="38" t="s">
        <v>28</v>
      </c>
      <c r="F7" s="29"/>
      <c r="G7" s="29" t="s">
        <v>38</v>
      </c>
      <c r="H7" s="29" t="s">
        <v>71</v>
      </c>
      <c r="I7" s="29" t="s">
        <v>12</v>
      </c>
      <c r="J7" s="35">
        <v>2009</v>
      </c>
      <c r="K7" s="35">
        <f t="shared" si="0"/>
        <v>2019</v>
      </c>
      <c r="L7" s="138">
        <v>2250</v>
      </c>
      <c r="M7" s="17"/>
      <c r="N7" s="8"/>
      <c r="P7" s="10"/>
    </row>
    <row r="8" spans="1:26" s="9" customFormat="1" ht="20.100000000000001" customHeight="1">
      <c r="A8" s="34" t="s">
        <v>5</v>
      </c>
      <c r="B8" s="36" t="s">
        <v>0</v>
      </c>
      <c r="C8" s="37" t="s">
        <v>65</v>
      </c>
      <c r="D8" s="29" t="s">
        <v>19</v>
      </c>
      <c r="E8" s="29" t="s">
        <v>66</v>
      </c>
      <c r="F8" s="29"/>
      <c r="G8" s="29"/>
      <c r="H8" s="29"/>
      <c r="I8" s="29"/>
      <c r="J8" s="35">
        <v>2010</v>
      </c>
      <c r="K8" s="35">
        <f t="shared" si="0"/>
        <v>2020</v>
      </c>
      <c r="L8" s="138">
        <v>200</v>
      </c>
      <c r="M8" s="17"/>
      <c r="N8" s="11"/>
    </row>
    <row r="9" spans="1:26" s="9" customFormat="1" ht="20.100000000000001" customHeight="1">
      <c r="A9" s="34" t="s">
        <v>15</v>
      </c>
      <c r="B9" s="36" t="s">
        <v>0</v>
      </c>
      <c r="C9" s="37" t="s">
        <v>67</v>
      </c>
      <c r="D9" s="29" t="s">
        <v>19</v>
      </c>
      <c r="E9" s="29" t="s">
        <v>29</v>
      </c>
      <c r="F9" s="29"/>
      <c r="G9" s="29"/>
      <c r="H9" s="29"/>
      <c r="I9" s="29"/>
      <c r="J9" s="35">
        <v>2008</v>
      </c>
      <c r="K9" s="35">
        <f t="shared" si="0"/>
        <v>2018</v>
      </c>
      <c r="L9" s="138">
        <v>1350</v>
      </c>
      <c r="M9" s="17"/>
      <c r="N9" s="12"/>
    </row>
    <row r="10" spans="1:26" s="9" customFormat="1" ht="20.100000000000001" customHeight="1">
      <c r="A10" s="34" t="s">
        <v>5</v>
      </c>
      <c r="B10" s="36" t="s">
        <v>2</v>
      </c>
      <c r="C10" s="37" t="s">
        <v>53</v>
      </c>
      <c r="D10" s="29" t="s">
        <v>30</v>
      </c>
      <c r="E10" s="29" t="s">
        <v>31</v>
      </c>
      <c r="F10" s="29"/>
      <c r="G10" s="29"/>
      <c r="H10" s="29"/>
      <c r="I10" s="29" t="s">
        <v>54</v>
      </c>
      <c r="J10" s="35">
        <v>2009</v>
      </c>
      <c r="K10" s="35">
        <f t="shared" si="0"/>
        <v>2019</v>
      </c>
      <c r="L10" s="138">
        <v>3500</v>
      </c>
      <c r="M10" s="17"/>
    </row>
    <row r="11" spans="1:26" s="9" customFormat="1" ht="20.100000000000001" customHeight="1">
      <c r="A11" s="145" t="s">
        <v>1</v>
      </c>
      <c r="B11" s="146" t="s">
        <v>2</v>
      </c>
      <c r="C11" s="147" t="s">
        <v>62</v>
      </c>
      <c r="D11" s="148" t="s">
        <v>32</v>
      </c>
      <c r="E11" s="148" t="s">
        <v>33</v>
      </c>
      <c r="F11" s="148"/>
      <c r="G11" s="148"/>
      <c r="H11" s="148"/>
      <c r="I11" s="147" t="s">
        <v>55</v>
      </c>
      <c r="J11" s="149">
        <v>2010</v>
      </c>
      <c r="K11" s="149">
        <f t="shared" si="0"/>
        <v>2020</v>
      </c>
      <c r="L11" s="150">
        <v>12000</v>
      </c>
      <c r="M11" s="17"/>
    </row>
    <row r="12" spans="1:26" s="9" customFormat="1" ht="37.5" customHeight="1" thickBot="1">
      <c r="A12" s="39" t="s">
        <v>6</v>
      </c>
      <c r="B12" s="40"/>
      <c r="C12" s="40"/>
      <c r="D12" s="40"/>
      <c r="E12" s="40"/>
      <c r="F12" s="40"/>
      <c r="G12" s="40"/>
      <c r="H12" s="40"/>
      <c r="I12" s="142"/>
      <c r="J12" s="143"/>
      <c r="K12" s="143"/>
      <c r="L12" s="144">
        <f>SUM(L3:L11)</f>
        <v>23850</v>
      </c>
      <c r="M12" s="17"/>
      <c r="N12" s="8"/>
      <c r="P12" s="10"/>
    </row>
    <row r="13" spans="1:26" ht="15" customHeight="1">
      <c r="N13" s="5"/>
    </row>
    <row r="14" spans="1:26" ht="15" customHeight="1">
      <c r="N14" s="5"/>
    </row>
    <row r="15" spans="1:26" ht="15" customHeight="1">
      <c r="N15" s="5"/>
    </row>
    <row r="16" spans="1:26" ht="15" customHeight="1">
      <c r="N16" s="5"/>
    </row>
    <row r="17" spans="14:14" ht="15" customHeight="1">
      <c r="N17" s="5"/>
    </row>
    <row r="18" spans="14:14" ht="15" customHeight="1">
      <c r="N18" s="5"/>
    </row>
    <row r="19" spans="14:14" ht="15" customHeight="1">
      <c r="N19" s="5"/>
    </row>
    <row r="20" spans="14:14" ht="15" customHeight="1">
      <c r="N20" s="5"/>
    </row>
    <row r="21" spans="14:14" ht="15" customHeight="1"/>
    <row r="22" spans="14:14" ht="15" customHeight="1"/>
    <row r="23" spans="14:14" ht="15" customHeight="1"/>
    <row r="24" spans="14:14" ht="15" customHeight="1"/>
    <row r="25" spans="14:14" ht="15" customHeight="1"/>
    <row r="26" spans="14:14" ht="15" customHeight="1"/>
    <row r="27" spans="14:14" ht="15" customHeight="1"/>
    <row r="28" spans="14:14" ht="15" customHeight="1"/>
    <row r="29" spans="14:14" ht="15" customHeight="1"/>
    <row r="30" spans="14:14" ht="15" customHeight="1"/>
    <row r="31" spans="14:14" ht="15" customHeight="1"/>
    <row r="32" spans="14:14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</sheetData>
  <mergeCells count="1">
    <mergeCell ref="A1:L1"/>
  </mergeCells>
  <pageMargins left="1" right="1" top="0.5" bottom="0.5" header="0.3" footer="0.3"/>
  <pageSetup scale="57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W33"/>
  <sheetViews>
    <sheetView zoomScale="70" zoomScaleNormal="70" workbookViewId="0">
      <selection activeCell="I3" sqref="I3"/>
    </sheetView>
  </sheetViews>
  <sheetFormatPr defaultColWidth="8.85546875" defaultRowHeight="15"/>
  <cols>
    <col min="1" max="1" width="22.85546875" customWidth="1"/>
    <col min="2" max="5" width="21" customWidth="1"/>
    <col min="6" max="6" width="19.42578125" customWidth="1"/>
    <col min="7" max="8" width="15.42578125" customWidth="1"/>
    <col min="9" max="9" width="17.42578125" bestFit="1" customWidth="1"/>
    <col min="10" max="10" width="3.28515625" style="18" customWidth="1"/>
  </cols>
  <sheetData>
    <row r="1" spans="1:23" ht="54.75" customHeight="1" thickBot="1">
      <c r="A1" s="99" t="s">
        <v>286</v>
      </c>
      <c r="B1" s="100"/>
      <c r="C1" s="100"/>
      <c r="D1" s="100"/>
      <c r="E1" s="100"/>
      <c r="F1" s="100"/>
      <c r="G1" s="100"/>
      <c r="H1" s="100"/>
      <c r="I1" s="101"/>
      <c r="J1" s="19"/>
      <c r="W1" t="s">
        <v>101</v>
      </c>
    </row>
    <row r="2" spans="1:23" ht="52.5" customHeight="1">
      <c r="A2" s="20" t="s">
        <v>16</v>
      </c>
      <c r="B2" s="21" t="s">
        <v>43</v>
      </c>
      <c r="C2" s="21" t="s">
        <v>21</v>
      </c>
      <c r="D2" s="21" t="s">
        <v>23</v>
      </c>
      <c r="E2" s="21" t="s">
        <v>22</v>
      </c>
      <c r="F2" s="22" t="s">
        <v>13</v>
      </c>
      <c r="G2" s="22" t="s">
        <v>14</v>
      </c>
      <c r="H2" s="22" t="s">
        <v>4</v>
      </c>
      <c r="I2" s="23" t="s">
        <v>288</v>
      </c>
      <c r="J2" s="15"/>
      <c r="W2" t="s">
        <v>101</v>
      </c>
    </row>
    <row r="3" spans="1:23" ht="20.100000000000001" customHeight="1">
      <c r="A3" s="34" t="s">
        <v>50</v>
      </c>
      <c r="B3" s="25" t="s">
        <v>44</v>
      </c>
      <c r="C3" s="25" t="s">
        <v>26</v>
      </c>
      <c r="D3" s="25" t="s">
        <v>24</v>
      </c>
      <c r="E3" s="41" t="s">
        <v>27</v>
      </c>
      <c r="F3" s="25">
        <v>1</v>
      </c>
      <c r="G3" s="25">
        <v>2009</v>
      </c>
      <c r="H3" s="25">
        <v>2015</v>
      </c>
      <c r="I3" s="139">
        <v>24300</v>
      </c>
      <c r="J3" s="6"/>
    </row>
    <row r="4" spans="1:23" ht="20.100000000000001" customHeight="1">
      <c r="A4" s="34" t="s">
        <v>51</v>
      </c>
      <c r="B4" s="25" t="s">
        <v>44</v>
      </c>
      <c r="C4" s="25" t="s">
        <v>26</v>
      </c>
      <c r="D4" s="25" t="s">
        <v>24</v>
      </c>
      <c r="E4" s="41">
        <v>2007</v>
      </c>
      <c r="F4" s="25">
        <v>7</v>
      </c>
      <c r="G4" s="25">
        <v>2009</v>
      </c>
      <c r="H4" s="25">
        <v>2013</v>
      </c>
      <c r="I4" s="139">
        <v>2000</v>
      </c>
      <c r="J4" s="16"/>
    </row>
    <row r="5" spans="1:23" ht="20.100000000000001" customHeight="1">
      <c r="A5" s="34" t="s">
        <v>61</v>
      </c>
      <c r="B5" s="25" t="s">
        <v>47</v>
      </c>
      <c r="C5" s="25" t="s">
        <v>45</v>
      </c>
      <c r="D5" s="25" t="s">
        <v>24</v>
      </c>
      <c r="E5" s="41" t="s">
        <v>74</v>
      </c>
      <c r="F5" s="25">
        <v>2</v>
      </c>
      <c r="G5" s="25">
        <v>2010</v>
      </c>
      <c r="H5" s="25">
        <v>2016</v>
      </c>
      <c r="I5" s="139">
        <f>250*2</f>
        <v>500</v>
      </c>
      <c r="J5" s="16"/>
    </row>
    <row r="6" spans="1:23" ht="20.100000000000001" customHeight="1">
      <c r="A6" s="34" t="s">
        <v>51</v>
      </c>
      <c r="B6" s="25" t="s">
        <v>44</v>
      </c>
      <c r="C6" s="25" t="s">
        <v>52</v>
      </c>
      <c r="D6" s="25" t="s">
        <v>25</v>
      </c>
      <c r="E6" s="41">
        <v>2010</v>
      </c>
      <c r="F6" s="25">
        <v>7</v>
      </c>
      <c r="G6" s="25">
        <v>2011</v>
      </c>
      <c r="H6" s="25">
        <v>2014</v>
      </c>
      <c r="I6" s="139">
        <f>24*7</f>
        <v>168</v>
      </c>
      <c r="J6" s="16"/>
    </row>
    <row r="7" spans="1:23" ht="20.100000000000001" customHeight="1">
      <c r="A7" s="26"/>
      <c r="B7" s="25"/>
      <c r="C7" s="25"/>
      <c r="D7" s="25"/>
      <c r="E7" s="41"/>
      <c r="F7" s="25"/>
      <c r="G7" s="25"/>
      <c r="H7" s="25"/>
      <c r="I7" s="140"/>
      <c r="J7" s="16"/>
    </row>
    <row r="8" spans="1:23" ht="37.5" customHeight="1" thickBot="1">
      <c r="A8" s="27" t="s">
        <v>7</v>
      </c>
      <c r="B8" s="28"/>
      <c r="C8" s="28"/>
      <c r="D8" s="28"/>
      <c r="E8" s="28"/>
      <c r="F8" s="28"/>
      <c r="G8" s="28"/>
      <c r="H8" s="28"/>
      <c r="I8" s="141">
        <f>SUM(I3:I7)</f>
        <v>26968</v>
      </c>
      <c r="J8" s="16"/>
    </row>
    <row r="9" spans="1:23" ht="15.75">
      <c r="J9" s="1"/>
    </row>
    <row r="10" spans="1:23" ht="15.75">
      <c r="J10" s="1"/>
    </row>
    <row r="11" spans="1:23" ht="15.75">
      <c r="J11" s="1"/>
    </row>
    <row r="12" spans="1:23" ht="15.75">
      <c r="J12" s="16"/>
    </row>
    <row r="13" spans="1:23" ht="15.75">
      <c r="J13" s="16"/>
    </row>
    <row r="14" spans="1:23" ht="15.75">
      <c r="J14" s="16"/>
    </row>
    <row r="15" spans="1:23" ht="15.75">
      <c r="J15" s="16"/>
    </row>
    <row r="16" spans="1:23" ht="15.75">
      <c r="J16" s="16"/>
    </row>
    <row r="17" spans="10:10" ht="15.75">
      <c r="J17" s="16"/>
    </row>
    <row r="18" spans="10:10" ht="15.75">
      <c r="J18" s="16"/>
    </row>
    <row r="19" spans="10:10" ht="15.75">
      <c r="J19" s="16"/>
    </row>
    <row r="20" spans="10:10" ht="15.75">
      <c r="J20" s="16"/>
    </row>
    <row r="21" spans="10:10" ht="15.75">
      <c r="J21" s="16"/>
    </row>
    <row r="22" spans="10:10" ht="15.75">
      <c r="J22" s="16"/>
    </row>
    <row r="23" spans="10:10" ht="15.75">
      <c r="J23" s="16"/>
    </row>
    <row r="24" spans="10:10" ht="15.75">
      <c r="J24" s="16"/>
    </row>
    <row r="25" spans="10:10" ht="15.75">
      <c r="J25" s="16"/>
    </row>
    <row r="26" spans="10:10" ht="15.75">
      <c r="J26" s="16"/>
    </row>
    <row r="27" spans="10:10" ht="15.75">
      <c r="J27" s="16"/>
    </row>
    <row r="28" spans="10:10" ht="15.75">
      <c r="J28" s="1"/>
    </row>
    <row r="29" spans="10:10" ht="15.75">
      <c r="J29" s="16"/>
    </row>
    <row r="30" spans="10:10" ht="15.75">
      <c r="J30" s="16"/>
    </row>
    <row r="31" spans="10:10" ht="15.75">
      <c r="J31" s="16"/>
    </row>
    <row r="32" spans="10:10" ht="15.75">
      <c r="J32" s="16"/>
    </row>
    <row r="33" spans="10:10" ht="15.75">
      <c r="J33" s="16"/>
    </row>
  </sheetData>
  <mergeCells count="1">
    <mergeCell ref="A1:I1"/>
  </mergeCells>
  <pageMargins left="0.7" right="0.7" top="0.75" bottom="0.75" header="0.3" footer="0.3"/>
  <pageSetup scale="69" orientation="landscape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6"/>
  <sheetViews>
    <sheetView workbookViewId="0">
      <selection activeCell="B23" sqref="B23:B24"/>
    </sheetView>
  </sheetViews>
  <sheetFormatPr defaultColWidth="8.85546875" defaultRowHeight="15"/>
  <cols>
    <col min="1" max="1" width="30.42578125" customWidth="1"/>
    <col min="2" max="2" width="79.42578125" customWidth="1"/>
  </cols>
  <sheetData>
    <row r="1" spans="1:2" ht="26.25">
      <c r="A1" s="42" t="s">
        <v>78</v>
      </c>
    </row>
    <row r="2" spans="1:2" ht="21">
      <c r="A2" s="43" t="s">
        <v>79</v>
      </c>
      <c r="B2" s="44" t="s">
        <v>86</v>
      </c>
    </row>
    <row r="3" spans="1:2" ht="21">
      <c r="A3" s="43" t="s">
        <v>79</v>
      </c>
      <c r="B3" s="44" t="s">
        <v>87</v>
      </c>
    </row>
    <row r="4" spans="1:2" ht="21">
      <c r="A4" s="43" t="s">
        <v>79</v>
      </c>
      <c r="B4" s="44" t="s">
        <v>88</v>
      </c>
    </row>
    <row r="5" spans="1:2" ht="21">
      <c r="A5" s="43" t="s">
        <v>80</v>
      </c>
      <c r="B5" s="44" t="s">
        <v>89</v>
      </c>
    </row>
    <row r="6" spans="1:2" ht="21">
      <c r="A6" s="43" t="s">
        <v>80</v>
      </c>
      <c r="B6" s="44" t="s">
        <v>90</v>
      </c>
    </row>
    <row r="7" spans="1:2" ht="21">
      <c r="A7" s="43" t="s">
        <v>80</v>
      </c>
      <c r="B7" s="44" t="s">
        <v>91</v>
      </c>
    </row>
    <row r="8" spans="1:2" ht="21">
      <c r="A8" s="43" t="s">
        <v>81</v>
      </c>
      <c r="B8" s="44" t="s">
        <v>92</v>
      </c>
    </row>
    <row r="9" spans="1:2" ht="21">
      <c r="A9" s="43" t="s">
        <v>81</v>
      </c>
      <c r="B9" s="44" t="s">
        <v>93</v>
      </c>
    </row>
    <row r="10" spans="1:2" ht="21">
      <c r="A10" s="43" t="s">
        <v>81</v>
      </c>
      <c r="B10" s="44" t="s">
        <v>94</v>
      </c>
    </row>
    <row r="11" spans="1:2" ht="21">
      <c r="A11" s="43" t="s">
        <v>82</v>
      </c>
      <c r="B11" s="44" t="s">
        <v>95</v>
      </c>
    </row>
    <row r="12" spans="1:2" ht="21">
      <c r="A12" s="43" t="s">
        <v>82</v>
      </c>
      <c r="B12" s="44" t="s">
        <v>96</v>
      </c>
    </row>
    <row r="13" spans="1:2" ht="21">
      <c r="A13" s="43" t="s">
        <v>82</v>
      </c>
      <c r="B13" s="44" t="s">
        <v>97</v>
      </c>
    </row>
    <row r="14" spans="1:2" ht="21">
      <c r="A14" s="43" t="s">
        <v>115</v>
      </c>
      <c r="B14" s="44" t="s">
        <v>98</v>
      </c>
    </row>
    <row r="15" spans="1:2" ht="21">
      <c r="A15" s="43" t="s">
        <v>115</v>
      </c>
      <c r="B15" s="44" t="s">
        <v>99</v>
      </c>
    </row>
    <row r="16" spans="1:2" ht="21">
      <c r="A16" s="43" t="s">
        <v>115</v>
      </c>
      <c r="B16" s="44" t="s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50"/>
  <sheetViews>
    <sheetView workbookViewId="0">
      <selection activeCell="C8" sqref="C8"/>
    </sheetView>
  </sheetViews>
  <sheetFormatPr defaultColWidth="8.85546875" defaultRowHeight="15"/>
  <cols>
    <col min="1" max="1" width="29.85546875" customWidth="1"/>
    <col min="2" max="2" width="70.42578125" customWidth="1"/>
  </cols>
  <sheetData>
    <row r="1" spans="1:3">
      <c r="A1" t="s">
        <v>84</v>
      </c>
      <c r="B1" t="s">
        <v>85</v>
      </c>
    </row>
    <row r="2" spans="1:3" ht="16.5">
      <c r="A2" s="38" t="s">
        <v>28</v>
      </c>
      <c r="B2" t="s">
        <v>83</v>
      </c>
    </row>
    <row r="3" spans="1:3" ht="15.75" thickBot="1"/>
    <row r="4" spans="1:3" ht="15.75" thickBot="1">
      <c r="A4" t="s">
        <v>183</v>
      </c>
      <c r="B4" s="73" t="s">
        <v>184</v>
      </c>
    </row>
    <row r="8" spans="1:3">
      <c r="A8" s="67" t="s">
        <v>179</v>
      </c>
      <c r="B8" s="67" t="s">
        <v>233</v>
      </c>
      <c r="C8" s="67" t="s">
        <v>234</v>
      </c>
    </row>
    <row r="9" spans="1:3">
      <c r="A9" s="48">
        <v>1</v>
      </c>
      <c r="B9" s="78" t="s">
        <v>123</v>
      </c>
      <c r="C9" s="78" t="s">
        <v>205</v>
      </c>
    </row>
    <row r="10" spans="1:3">
      <c r="A10" s="48">
        <v>2</v>
      </c>
      <c r="B10" s="78" t="s">
        <v>124</v>
      </c>
      <c r="C10" s="78" t="s">
        <v>205</v>
      </c>
    </row>
    <row r="11" spans="1:3">
      <c r="A11" s="48">
        <v>3</v>
      </c>
      <c r="B11" s="78" t="s">
        <v>125</v>
      </c>
      <c r="C11" s="78" t="s">
        <v>205</v>
      </c>
    </row>
    <row r="12" spans="1:3">
      <c r="A12" s="48">
        <v>4</v>
      </c>
      <c r="B12" s="78" t="s">
        <v>126</v>
      </c>
      <c r="C12" s="78" t="s">
        <v>205</v>
      </c>
    </row>
    <row r="13" spans="1:3">
      <c r="A13" s="48">
        <v>5</v>
      </c>
      <c r="B13" s="78" t="s">
        <v>131</v>
      </c>
      <c r="C13" s="78" t="s">
        <v>205</v>
      </c>
    </row>
    <row r="14" spans="1:3">
      <c r="A14" s="48">
        <v>6</v>
      </c>
      <c r="B14" s="78" t="s">
        <v>132</v>
      </c>
      <c r="C14" s="78" t="s">
        <v>205</v>
      </c>
    </row>
    <row r="15" spans="1:3">
      <c r="A15" s="48">
        <v>7</v>
      </c>
      <c r="B15" s="78" t="s">
        <v>127</v>
      </c>
      <c r="C15" s="78" t="s">
        <v>205</v>
      </c>
    </row>
    <row r="16" spans="1:3">
      <c r="A16" s="48">
        <v>8</v>
      </c>
      <c r="B16" s="78" t="s">
        <v>128</v>
      </c>
      <c r="C16" s="78" t="s">
        <v>205</v>
      </c>
    </row>
    <row r="17" spans="1:3">
      <c r="A17" s="48">
        <v>9</v>
      </c>
      <c r="B17" s="78" t="s">
        <v>129</v>
      </c>
      <c r="C17" s="78" t="s">
        <v>205</v>
      </c>
    </row>
    <row r="18" spans="1:3">
      <c r="A18" s="48">
        <v>10</v>
      </c>
      <c r="B18" s="78" t="s">
        <v>130</v>
      </c>
      <c r="C18" s="78" t="s">
        <v>205</v>
      </c>
    </row>
    <row r="20" spans="1:3">
      <c r="A20" s="48"/>
    </row>
    <row r="21" spans="1:3">
      <c r="A21" s="48"/>
    </row>
    <row r="22" spans="1:3">
      <c r="A22" s="48"/>
    </row>
    <row r="23" spans="1:3">
      <c r="A23" s="48"/>
    </row>
    <row r="25" spans="1:3">
      <c r="A25" s="48"/>
    </row>
    <row r="26" spans="1:3">
      <c r="A26" s="48"/>
    </row>
    <row r="27" spans="1:3">
      <c r="A27" s="48"/>
    </row>
    <row r="28" spans="1:3">
      <c r="A28" s="48"/>
    </row>
    <row r="30" spans="1:3">
      <c r="A30" s="48"/>
    </row>
    <row r="31" spans="1:3">
      <c r="A31" s="48"/>
    </row>
    <row r="32" spans="1:3">
      <c r="A32" s="48"/>
    </row>
    <row r="33" spans="1:1">
      <c r="A33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50" spans="1:1">
      <c r="A50" s="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workbookViewId="0">
      <selection activeCell="B30" sqref="B30"/>
    </sheetView>
  </sheetViews>
  <sheetFormatPr defaultColWidth="8.85546875" defaultRowHeight="15"/>
  <cols>
    <col min="1" max="1" width="36.140625" customWidth="1"/>
  </cols>
  <sheetData>
    <row r="1" spans="1:1">
      <c r="A1" s="45" t="s">
        <v>102</v>
      </c>
    </row>
    <row r="2" spans="1:1">
      <c r="A2" s="45" t="s">
        <v>103</v>
      </c>
    </row>
    <row r="3" spans="1:1">
      <c r="A3" s="45" t="s">
        <v>104</v>
      </c>
    </row>
    <row r="4" spans="1:1">
      <c r="A4" s="45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33</vt:i4>
      </vt:variant>
    </vt:vector>
  </HeadingPairs>
  <TitlesOfParts>
    <vt:vector size="41" baseType="lpstr">
      <vt:lpstr>CommonBrain</vt:lpstr>
      <vt:lpstr>questionnaire form</vt:lpstr>
      <vt:lpstr>questionnaire</vt:lpstr>
      <vt:lpstr>Hardware Inventory</vt:lpstr>
      <vt:lpstr>Software Inventory</vt:lpstr>
      <vt:lpstr>ADDIE</vt:lpstr>
      <vt:lpstr>refs</vt:lpstr>
      <vt:lpstr>master</vt:lpstr>
      <vt:lpstr>AverageAnchor</vt:lpstr>
      <vt:lpstr>AverageCost</vt:lpstr>
      <vt:lpstr>AverageCostt</vt:lpstr>
      <vt:lpstr>AverageOverall</vt:lpstr>
      <vt:lpstr>AverageRatio</vt:lpstr>
      <vt:lpstr>CBImage</vt:lpstr>
      <vt:lpstr>CBrainImage</vt:lpstr>
      <vt:lpstr>CBrainTitle</vt:lpstr>
      <vt:lpstr>CBTitle</vt:lpstr>
      <vt:lpstr>ChartLabel</vt:lpstr>
      <vt:lpstr>Chartpath</vt:lpstr>
      <vt:lpstr>CostAnchor</vt:lpstr>
      <vt:lpstr>CurrenDepartment</vt:lpstr>
      <vt:lpstr>DepartmentCount</vt:lpstr>
      <vt:lpstr>DepartmentNames</vt:lpstr>
      <vt:lpstr>DepartmentResults</vt:lpstr>
      <vt:lpstr>DEPARTMENTS</vt:lpstr>
      <vt:lpstr>DepartmentSetup</vt:lpstr>
      <vt:lpstr>ExportMode</vt:lpstr>
      <vt:lpstr>HardwareCount</vt:lpstr>
      <vt:lpstr>HardwareTotal</vt:lpstr>
      <vt:lpstr>Overall</vt:lpstr>
      <vt:lpstr>OverallAnchor</vt:lpstr>
      <vt:lpstr>'Hardware Inventory'!Print_Area</vt:lpstr>
      <vt:lpstr>'questionnaire form'!Print_Area</vt:lpstr>
      <vt:lpstr>'Software Inventory'!Print_Area</vt:lpstr>
      <vt:lpstr>'Hardware Inventory'!Print_Titles</vt:lpstr>
      <vt:lpstr>'Software Inventory'!Print_Titles</vt:lpstr>
      <vt:lpstr>RatioAnchor</vt:lpstr>
      <vt:lpstr>SampleQuestionnaire</vt:lpstr>
      <vt:lpstr>scoreAnchor</vt:lpstr>
      <vt:lpstr>SoftwareCout</vt:lpstr>
      <vt:lpstr>SoftwareTotal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EAncira</dc:creator>
  <cp:lastModifiedBy>Andy Rudenstein</cp:lastModifiedBy>
  <cp:lastPrinted>2018-03-08T03:01:52Z</cp:lastPrinted>
  <dcterms:created xsi:type="dcterms:W3CDTF">2009-01-27T15:08:03Z</dcterms:created>
  <dcterms:modified xsi:type="dcterms:W3CDTF">2018-03-08T04:32:34Z</dcterms:modified>
</cp:coreProperties>
</file>